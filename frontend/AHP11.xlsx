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itHub\dss-rental-system\frontend\"/>
    </mc:Choice>
  </mc:AlternateContent>
  <xr:revisionPtr revIDLastSave="0" documentId="13_ncr:1_{8E0B3845-3D98-452A-8E49-AE9FD0F1E978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HuongDan" sheetId="1" r:id="rId1"/>
    <sheet name="Criteria_Pairwise" sheetId="2" r:id="rId2"/>
    <sheet name="Normalization_AHP" sheetId="3" r:id="rId3"/>
    <sheet name="Criteria_Weights" sheetId="4" r:id="rId4"/>
    <sheet name="DuLieu_ThucTe_TPHCM" sheetId="5" r:id="rId5"/>
    <sheet name="ChuanHoa_DuLieu" sheetId="6" r:id="rId6"/>
    <sheet name="TinhDiem_Phuong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2" i="5"/>
  <c r="E101" i="6"/>
  <c r="D101" i="6"/>
  <c r="C101" i="6"/>
  <c r="B101" i="6"/>
  <c r="A101" i="6"/>
  <c r="E100" i="6"/>
  <c r="D100" i="6"/>
  <c r="C100" i="6"/>
  <c r="B100" i="6"/>
  <c r="A100" i="6"/>
  <c r="A100" i="7" s="1"/>
  <c r="E99" i="6"/>
  <c r="D99" i="6"/>
  <c r="B99" i="7" s="1" a="1"/>
  <c r="B99" i="7" s="1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7" s="1" a="1"/>
  <c r="B96" i="7" s="1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B93" i="7" s="1" a="1"/>
  <c r="B93" i="7" s="1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A90" i="7" s="1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B87" i="7" s="1" a="1"/>
  <c r="B87" i="7" s="1"/>
  <c r="A87" i="6"/>
  <c r="E86" i="6"/>
  <c r="B86" i="7" s="1" a="1"/>
  <c r="B86" i="7" s="1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A84" i="7" s="1"/>
  <c r="E83" i="6"/>
  <c r="D83" i="6"/>
  <c r="B83" i="7" s="1" a="1"/>
  <c r="B83" i="7" s="1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7" s="1" a="1"/>
  <c r="B80" i="7" s="1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B77" i="7" s="1" a="1"/>
  <c r="B77" i="7" s="1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7" s="1" a="1"/>
  <c r="B74" i="7" s="1"/>
  <c r="B74" i="6"/>
  <c r="A74" i="6"/>
  <c r="A74" i="7" s="1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B71" i="7" s="1" a="1"/>
  <c r="B71" i="7" s="1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A68" i="7" s="1"/>
  <c r="E67" i="6"/>
  <c r="D67" i="6"/>
  <c r="B67" i="7" s="1" a="1"/>
  <c r="B67" i="7" s="1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7" s="1" a="1"/>
  <c r="B64" i="7" s="1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B61" i="7" s="1" a="1"/>
  <c r="B61" i="7" s="1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7" s="1" a="1"/>
  <c r="B58" i="7" s="1"/>
  <c r="B58" i="6"/>
  <c r="A58" i="6"/>
  <c r="A58" i="7" s="1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B55" i="7" s="1" a="1"/>
  <c r="B55" i="7" s="1"/>
  <c r="A55" i="6"/>
  <c r="E54" i="6"/>
  <c r="B54" i="7" s="1" a="1"/>
  <c r="B54" i="7" s="1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A52" i="7" s="1"/>
  <c r="E51" i="6"/>
  <c r="D51" i="6"/>
  <c r="B51" i="7" s="1" a="1"/>
  <c r="B51" i="7" s="1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7" s="1" a="1"/>
  <c r="B48" i="7" s="1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B45" i="7" s="1" a="1"/>
  <c r="B45" i="7" s="1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7" s="1" a="1"/>
  <c r="B42" i="7" s="1"/>
  <c r="B42" i="6"/>
  <c r="A42" i="6"/>
  <c r="A42" i="7" s="1"/>
  <c r="E41" i="6"/>
  <c r="D41" i="6"/>
  <c r="C41" i="6"/>
  <c r="B41" i="6"/>
  <c r="B41" i="7" s="1" a="1"/>
  <c r="B41" i="7" s="1"/>
  <c r="A41" i="6"/>
  <c r="E40" i="6"/>
  <c r="D40" i="6"/>
  <c r="C40" i="6"/>
  <c r="B40" i="6"/>
  <c r="A40" i="6"/>
  <c r="E39" i="6"/>
  <c r="D39" i="6"/>
  <c r="C39" i="6"/>
  <c r="B39" i="6"/>
  <c r="B39" i="7" s="1" a="1"/>
  <c r="B39" i="7" s="1"/>
  <c r="A39" i="6"/>
  <c r="E38" i="6"/>
  <c r="D38" i="6"/>
  <c r="C38" i="6"/>
  <c r="B38" i="6"/>
  <c r="A38" i="6"/>
  <c r="A38" i="7" s="1"/>
  <c r="E37" i="6"/>
  <c r="B37" i="7" s="1" a="1"/>
  <c r="B37" i="7" s="1"/>
  <c r="D37" i="6"/>
  <c r="C37" i="6"/>
  <c r="B37" i="6"/>
  <c r="A37" i="6"/>
  <c r="E36" i="6"/>
  <c r="D36" i="6"/>
  <c r="C36" i="6"/>
  <c r="B36" i="7" s="1" a="1"/>
  <c r="B36" i="7" s="1"/>
  <c r="B36" i="6"/>
  <c r="A36" i="6"/>
  <c r="A36" i="7" s="1"/>
  <c r="E35" i="6"/>
  <c r="D35" i="6"/>
  <c r="B35" i="7" s="1" a="1"/>
  <c r="B35" i="7" s="1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7" s="1" a="1"/>
  <c r="B32" i="7" s="1"/>
  <c r="B32" i="6"/>
  <c r="A32" i="6"/>
  <c r="E31" i="6"/>
  <c r="D31" i="6"/>
  <c r="C31" i="6"/>
  <c r="B31" i="6"/>
  <c r="A31" i="6"/>
  <c r="E30" i="6"/>
  <c r="D30" i="6"/>
  <c r="C30" i="6"/>
  <c r="B30" i="6"/>
  <c r="A30" i="6"/>
  <c r="A30" i="7" s="1"/>
  <c r="E29" i="6"/>
  <c r="D29" i="6"/>
  <c r="C29" i="6"/>
  <c r="B29" i="6"/>
  <c r="B29" i="7" s="1" a="1"/>
  <c r="B29" i="7" s="1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7" s="1" a="1"/>
  <c r="B26" i="7" s="1"/>
  <c r="B26" i="6"/>
  <c r="A26" i="6"/>
  <c r="A26" i="7" s="1"/>
  <c r="E25" i="6"/>
  <c r="D25" i="6"/>
  <c r="C25" i="6"/>
  <c r="B25" i="6"/>
  <c r="B25" i="7" s="1" a="1"/>
  <c r="B25" i="7" s="1"/>
  <c r="A25" i="6"/>
  <c r="A25" i="7" s="1"/>
  <c r="E24" i="6"/>
  <c r="D24" i="6"/>
  <c r="C24" i="6"/>
  <c r="B24" i="6"/>
  <c r="A24" i="6"/>
  <c r="E23" i="6"/>
  <c r="D23" i="6"/>
  <c r="C23" i="6"/>
  <c r="B23" i="6"/>
  <c r="B23" i="7" s="1" a="1"/>
  <c r="B23" i="7" s="1"/>
  <c r="A23" i="6"/>
  <c r="E22" i="6"/>
  <c r="D22" i="6"/>
  <c r="C22" i="6"/>
  <c r="B22" i="6"/>
  <c r="A22" i="6"/>
  <c r="A22" i="7" s="1"/>
  <c r="E21" i="6"/>
  <c r="B21" i="7" s="1" a="1"/>
  <c r="B21" i="7" s="1"/>
  <c r="D21" i="6"/>
  <c r="C21" i="6"/>
  <c r="B21" i="6"/>
  <c r="A21" i="6"/>
  <c r="E20" i="6"/>
  <c r="D20" i="6"/>
  <c r="C20" i="6"/>
  <c r="B20" i="7" s="1" a="1"/>
  <c r="B20" i="7" s="1"/>
  <c r="B20" i="6"/>
  <c r="A20" i="6"/>
  <c r="A20" i="7" s="1"/>
  <c r="E19" i="6"/>
  <c r="D19" i="6"/>
  <c r="B19" i="7" s="1" a="1"/>
  <c r="B19" i="7" s="1"/>
  <c r="C19" i="6"/>
  <c r="B19" i="6"/>
  <c r="A19" i="6"/>
  <c r="E18" i="6"/>
  <c r="D18" i="6"/>
  <c r="B18" i="7" s="1" a="1"/>
  <c r="B18" i="7" s="1"/>
  <c r="C18" i="6"/>
  <c r="B18" i="6"/>
  <c r="A18" i="6"/>
  <c r="E17" i="6"/>
  <c r="D17" i="6"/>
  <c r="C17" i="6"/>
  <c r="B17" i="6"/>
  <c r="A17" i="6"/>
  <c r="E16" i="6"/>
  <c r="D16" i="6"/>
  <c r="C16" i="6"/>
  <c r="B16" i="7" s="1" a="1"/>
  <c r="B16" i="7" s="1"/>
  <c r="B16" i="6"/>
  <c r="A16" i="6"/>
  <c r="E15" i="6"/>
  <c r="D15" i="6"/>
  <c r="C15" i="6"/>
  <c r="B15" i="6"/>
  <c r="A15" i="6"/>
  <c r="E14" i="6"/>
  <c r="D14" i="6"/>
  <c r="C14" i="6"/>
  <c r="B14" i="6"/>
  <c r="A14" i="6"/>
  <c r="A14" i="7" s="1"/>
  <c r="E13" i="6"/>
  <c r="D13" i="6"/>
  <c r="C13" i="6"/>
  <c r="B13" i="6"/>
  <c r="B13" i="7" s="1" a="1"/>
  <c r="B13" i="7" s="1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7" s="1" a="1"/>
  <c r="B10" i="7" s="1"/>
  <c r="B10" i="6"/>
  <c r="A10" i="6"/>
  <c r="A10" i="7" s="1"/>
  <c r="E9" i="6"/>
  <c r="D9" i="6"/>
  <c r="C9" i="6"/>
  <c r="B9" i="6"/>
  <c r="B9" i="7" s="1" a="1"/>
  <c r="B9" i="7" s="1"/>
  <c r="A9" i="6"/>
  <c r="A9" i="7" s="1"/>
  <c r="E8" i="6"/>
  <c r="D8" i="6"/>
  <c r="C8" i="6"/>
  <c r="B8" i="6"/>
  <c r="A8" i="6"/>
  <c r="E7" i="6"/>
  <c r="D7" i="6"/>
  <c r="C7" i="6"/>
  <c r="B7" i="6"/>
  <c r="B7" i="7" s="1" a="1"/>
  <c r="B7" i="7" s="1"/>
  <c r="A7" i="6"/>
  <c r="E6" i="6"/>
  <c r="D6" i="6"/>
  <c r="C6" i="6"/>
  <c r="B6" i="6"/>
  <c r="A6" i="6"/>
  <c r="A6" i="7" s="1"/>
  <c r="E5" i="6"/>
  <c r="B5" i="7" s="1" a="1"/>
  <c r="B5" i="7" s="1"/>
  <c r="D5" i="6"/>
  <c r="C5" i="6"/>
  <c r="B5" i="6"/>
  <c r="A5" i="6"/>
  <c r="E4" i="6"/>
  <c r="D4" i="6"/>
  <c r="C4" i="6"/>
  <c r="B4" i="7" s="1" a="1"/>
  <c r="B4" i="7" s="1"/>
  <c r="B4" i="6"/>
  <c r="A4" i="6"/>
  <c r="A4" i="7" s="1"/>
  <c r="E3" i="6"/>
  <c r="D3" i="6"/>
  <c r="B3" i="7" s="1" a="1"/>
  <c r="B3" i="7" s="1"/>
  <c r="C3" i="6"/>
  <c r="B3" i="6"/>
  <c r="A3" i="6"/>
  <c r="E2" i="6"/>
  <c r="D2" i="6"/>
  <c r="B2" i="7" s="1" a="1"/>
  <c r="B2" i="7" s="1"/>
  <c r="C2" i="6"/>
  <c r="B2" i="6"/>
  <c r="A2" i="6"/>
  <c r="B5" i="4"/>
  <c r="B4" i="4"/>
  <c r="B3" i="4"/>
  <c r="B2" i="4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D5" i="2"/>
  <c r="C5" i="2"/>
  <c r="B5" i="2"/>
  <c r="C4" i="2"/>
  <c r="B4" i="2"/>
  <c r="B3" i="2"/>
  <c r="B101" i="7" a="1"/>
  <c r="B101" i="7"/>
  <c r="A101" i="7"/>
  <c r="B100" i="7" a="1"/>
  <c r="B100" i="7" s="1"/>
  <c r="A99" i="7"/>
  <c r="B98" i="7" a="1"/>
  <c r="B98" i="7" s="1"/>
  <c r="A98" i="7"/>
  <c r="B97" i="7" a="1"/>
  <c r="B97" i="7"/>
  <c r="A97" i="7"/>
  <c r="A96" i="7"/>
  <c r="B95" i="7" a="1"/>
  <c r="B95" i="7" s="1"/>
  <c r="A95" i="7"/>
  <c r="B94" i="7" a="1"/>
  <c r="B94" i="7" s="1"/>
  <c r="A94" i="7"/>
  <c r="A93" i="7"/>
  <c r="B92" i="7" a="1"/>
  <c r="B92" i="7" s="1"/>
  <c r="A92" i="7"/>
  <c r="B91" i="7" a="1"/>
  <c r="B91" i="7"/>
  <c r="A91" i="7"/>
  <c r="B90" i="7" a="1"/>
  <c r="B90" i="7"/>
  <c r="B89" i="7" a="1"/>
  <c r="B89" i="7"/>
  <c r="A89" i="7"/>
  <c r="B88" i="7" a="1"/>
  <c r="B88" i="7" s="1"/>
  <c r="A88" i="7"/>
  <c r="A87" i="7"/>
  <c r="A86" i="7"/>
  <c r="B85" i="7" a="1"/>
  <c r="B85" i="7"/>
  <c r="A85" i="7"/>
  <c r="B84" i="7" a="1"/>
  <c r="B84" i="7" s="1"/>
  <c r="A83" i="7"/>
  <c r="B82" i="7" a="1"/>
  <c r="B82" i="7" s="1"/>
  <c r="A82" i="7"/>
  <c r="B81" i="7" a="1"/>
  <c r="B81" i="7"/>
  <c r="A81" i="7"/>
  <c r="A80" i="7"/>
  <c r="B79" i="7" a="1"/>
  <c r="B79" i="7" s="1"/>
  <c r="A79" i="7"/>
  <c r="B78" i="7" a="1"/>
  <c r="B78" i="7"/>
  <c r="A78" i="7"/>
  <c r="A77" i="7"/>
  <c r="B76" i="7" a="1"/>
  <c r="B76" i="7" s="1"/>
  <c r="A76" i="7"/>
  <c r="B75" i="7" a="1"/>
  <c r="B75" i="7"/>
  <c r="A75" i="7"/>
  <c r="B73" i="7" a="1"/>
  <c r="B73" i="7" s="1"/>
  <c r="A73" i="7"/>
  <c r="B72" i="7" a="1"/>
  <c r="B72" i="7" s="1"/>
  <c r="A72" i="7"/>
  <c r="A71" i="7"/>
  <c r="B70" i="7" a="1"/>
  <c r="B70" i="7" s="1"/>
  <c r="A70" i="7"/>
  <c r="B69" i="7" a="1"/>
  <c r="B69" i="7"/>
  <c r="A69" i="7"/>
  <c r="B68" i="7" a="1"/>
  <c r="B68" i="7" s="1"/>
  <c r="A67" i="7"/>
  <c r="B66" i="7" a="1"/>
  <c r="B66" i="7" s="1"/>
  <c r="A66" i="7"/>
  <c r="B65" i="7" a="1"/>
  <c r="B65" i="7"/>
  <c r="A65" i="7"/>
  <c r="A64" i="7"/>
  <c r="B63" i="7" a="1"/>
  <c r="B63" i="7" s="1"/>
  <c r="A63" i="7"/>
  <c r="B62" i="7" a="1"/>
  <c r="B62" i="7"/>
  <c r="A62" i="7"/>
  <c r="A61" i="7"/>
  <c r="B60" i="7" a="1"/>
  <c r="B60" i="7" s="1"/>
  <c r="A60" i="7"/>
  <c r="B59" i="7" a="1"/>
  <c r="B59" i="7"/>
  <c r="A59" i="7"/>
  <c r="B57" i="7" a="1"/>
  <c r="B57" i="7" s="1"/>
  <c r="A57" i="7"/>
  <c r="B56" i="7" a="1"/>
  <c r="B56" i="7" s="1"/>
  <c r="A56" i="7"/>
  <c r="A55" i="7"/>
  <c r="A54" i="7"/>
  <c r="B53" i="7" a="1"/>
  <c r="B53" i="7"/>
  <c r="A53" i="7"/>
  <c r="B52" i="7" a="1"/>
  <c r="B52" i="7" s="1"/>
  <c r="A51" i="7"/>
  <c r="B50" i="7" a="1"/>
  <c r="B50" i="7" s="1"/>
  <c r="A50" i="7"/>
  <c r="B49" i="7" a="1"/>
  <c r="B49" i="7"/>
  <c r="A49" i="7"/>
  <c r="A48" i="7"/>
  <c r="B47" i="7" a="1"/>
  <c r="B47" i="7" s="1"/>
  <c r="A47" i="7"/>
  <c r="B46" i="7" a="1"/>
  <c r="B46" i="7"/>
  <c r="A46" i="7"/>
  <c r="A45" i="7"/>
  <c r="B44" i="7" a="1"/>
  <c r="B44" i="7" s="1"/>
  <c r="A44" i="7"/>
  <c r="B43" i="7" a="1"/>
  <c r="B43" i="7"/>
  <c r="A43" i="7"/>
  <c r="A41" i="7"/>
  <c r="B40" i="7" a="1"/>
  <c r="B40" i="7" s="1"/>
  <c r="A40" i="7"/>
  <c r="A39" i="7"/>
  <c r="B38" i="7" a="1"/>
  <c r="B38" i="7" s="1"/>
  <c r="A37" i="7"/>
  <c r="A35" i="7"/>
  <c r="B34" i="7" a="1"/>
  <c r="B34" i="7" s="1"/>
  <c r="A34" i="7"/>
  <c r="B33" i="7" a="1"/>
  <c r="B33" i="7"/>
  <c r="A33" i="7"/>
  <c r="A32" i="7"/>
  <c r="B31" i="7" a="1"/>
  <c r="B31" i="7" s="1"/>
  <c r="A31" i="7"/>
  <c r="B30" i="7" a="1"/>
  <c r="B30" i="7"/>
  <c r="A29" i="7"/>
  <c r="B28" i="7" a="1"/>
  <c r="B28" i="7" s="1"/>
  <c r="A28" i="7"/>
  <c r="B27" i="7" a="1"/>
  <c r="B27" i="7"/>
  <c r="A27" i="7"/>
  <c r="B24" i="7" a="1"/>
  <c r="B24" i="7" s="1"/>
  <c r="A24" i="7"/>
  <c r="A23" i="7"/>
  <c r="B22" i="7" a="1"/>
  <c r="B22" i="7" s="1"/>
  <c r="A21" i="7"/>
  <c r="A19" i="7"/>
  <c r="A18" i="7"/>
  <c r="B17" i="7" a="1"/>
  <c r="B17" i="7"/>
  <c r="A17" i="7"/>
  <c r="A16" i="7"/>
  <c r="B15" i="7" a="1"/>
  <c r="B15" i="7" s="1"/>
  <c r="A15" i="7"/>
  <c r="B14" i="7" a="1"/>
  <c r="B14" i="7" s="1"/>
  <c r="A13" i="7"/>
  <c r="B12" i="7" a="1"/>
  <c r="B12" i="7" s="1"/>
  <c r="A12" i="7"/>
  <c r="B11" i="7" a="1"/>
  <c r="B11" i="7"/>
  <c r="A11" i="7"/>
  <c r="B8" i="7" a="1"/>
  <c r="B8" i="7" s="1"/>
  <c r="A8" i="7"/>
  <c r="A7" i="7"/>
  <c r="B6" i="7" a="1"/>
  <c r="B6" i="7" s="1"/>
  <c r="A5" i="7"/>
  <c r="A3" i="7"/>
  <c r="A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<sst xmlns="http://schemas.openxmlformats.org/spreadsheetml/2006/main" count="441" uniqueCount="321">
  <si>
    <t>Hệ hỗ trợ ra quyết định chọn nhà trọ sử dụng phương pháp AHP.</t>
  </si>
  <si>
    <t>Dữ liệu được tổng hợp và mô phỏng theo đặc trưng thực tế của thị trường nhà trọ TP.HCM.</t>
  </si>
  <si>
    <t>Quy trình: AHP → Trọng số → Chuẩn hóa dữ liệu → Tính điểm phương án.</t>
  </si>
  <si>
    <t>Giá</t>
  </si>
  <si>
    <t>Khoảng cách</t>
  </si>
  <si>
    <t>Chất lượng</t>
  </si>
  <si>
    <t>An ninh</t>
  </si>
  <si>
    <t>Tiêu chí</t>
  </si>
  <si>
    <t>Trọng số</t>
  </si>
  <si>
    <t>Mã</t>
  </si>
  <si>
    <t>Địa chỉ</t>
  </si>
  <si>
    <t>Quận/Khu vực</t>
  </si>
  <si>
    <t>NT001</t>
  </si>
  <si>
    <t>246 Xô Viết Nghệ Tĩnh, Thủ Đức, TP.HCM</t>
  </si>
  <si>
    <t>Thủ Đức</t>
  </si>
  <si>
    <t>NT002</t>
  </si>
  <si>
    <t>97 Cách Mạng Tháng 8, Thủ Đức, TP.HCM</t>
  </si>
  <si>
    <t>Quận 7</t>
  </si>
  <si>
    <t>NT003</t>
  </si>
  <si>
    <t>153 Nguyễn Văn Cừ, Quận 7, TP.HCM</t>
  </si>
  <si>
    <t>NT004</t>
  </si>
  <si>
    <t>54 Trường Chinh, Bình Thạnh, TP.HCM</t>
  </si>
  <si>
    <t>Quận 1</t>
  </si>
  <si>
    <t>NT005</t>
  </si>
  <si>
    <t>110 Lê Văn Sỹ, Quận 7, TP.HCM</t>
  </si>
  <si>
    <t>NT006</t>
  </si>
  <si>
    <t>71 Nguyễn Văn Cừ, Quận 10, TP.HCM</t>
  </si>
  <si>
    <t>Quận 5</t>
  </si>
  <si>
    <t>NT007</t>
  </si>
  <si>
    <t>141 Hoàng Văn Thụ, Quận 3, TP.HCM</t>
  </si>
  <si>
    <t>NT008</t>
  </si>
  <si>
    <t>173 Điện Biên Phủ, Quận 10, TP.HCM</t>
  </si>
  <si>
    <t>NT009</t>
  </si>
  <si>
    <t>266 Trường Chinh, Quận 10, TP.HCM</t>
  </si>
  <si>
    <t>NT010</t>
  </si>
  <si>
    <t>158 Điện Biên Phủ, Bình Thạnh, TP.HCM</t>
  </si>
  <si>
    <t>Gò Vấp</t>
  </si>
  <si>
    <t>NT011</t>
  </si>
  <si>
    <t>57 Hoàng Văn Thụ, Bình Thạnh, TP.HCM</t>
  </si>
  <si>
    <t>Quận 3</t>
  </si>
  <si>
    <t>NT012</t>
  </si>
  <si>
    <t>204 Hoàng Văn Thụ, Thủ Đức, TP.HCM</t>
  </si>
  <si>
    <t>Phú Nhuận</t>
  </si>
  <si>
    <t>NT013</t>
  </si>
  <si>
    <t>47 Trường Chinh, Gò Vấp, TP.HCM</t>
  </si>
  <si>
    <t>Bình Thạnh</t>
  </si>
  <si>
    <t>NT014</t>
  </si>
  <si>
    <t>142 Cách Mạng Tháng 8, Phú Nhuận, TP.HCM</t>
  </si>
  <si>
    <t>NT015</t>
  </si>
  <si>
    <t>50 Hoàng Văn Thụ, Thủ Đức, TP.HCM</t>
  </si>
  <si>
    <t>Quận 10</t>
  </si>
  <si>
    <t>NT016</t>
  </si>
  <si>
    <t>296 Xô Viết Nghệ Tĩnh, Quận 10, TP.HCM</t>
  </si>
  <si>
    <t>NT017</t>
  </si>
  <si>
    <t>239 Hoàng Văn Thụ, Thủ Đức, TP.HCM</t>
  </si>
  <si>
    <t>NT018</t>
  </si>
  <si>
    <t>235 Cách Mạng Tháng 8, Quận 5, TP.HCM</t>
  </si>
  <si>
    <t>Tân Bình</t>
  </si>
  <si>
    <t>NT019</t>
  </si>
  <si>
    <t>22 Cách Mạng Tháng 8, Quận 3, TP.HCM</t>
  </si>
  <si>
    <t>NT020</t>
  </si>
  <si>
    <t>261 Lê Văn Sỹ, Quận 10, TP.HCM</t>
  </si>
  <si>
    <t>NT021</t>
  </si>
  <si>
    <t>57 Nguyễn Văn Cừ, Phú Nhuận, TP.HCM</t>
  </si>
  <si>
    <t>NT022</t>
  </si>
  <si>
    <t>171 Lê Văn Sỹ, Quận 10, TP.HCM</t>
  </si>
  <si>
    <t>NT023</t>
  </si>
  <si>
    <t>154 Nguyễn Văn Cừ, Gò Vấp, TP.HCM</t>
  </si>
  <si>
    <t>NT024</t>
  </si>
  <si>
    <t>35 Nguyễn Văn Cừ, Quận 5, TP.HCM</t>
  </si>
  <si>
    <t>NT025</t>
  </si>
  <si>
    <t>227 Nguyễn Thị Minh Khai, Bình Thạnh, TP.HCM</t>
  </si>
  <si>
    <t>NT026</t>
  </si>
  <si>
    <t>191 Trường Chinh, Bình Thạnh, TP.HCM</t>
  </si>
  <si>
    <t>NT027</t>
  </si>
  <si>
    <t>230 Lê Văn Sỹ, Quận 3, TP.HCM</t>
  </si>
  <si>
    <t>NT028</t>
  </si>
  <si>
    <t>130 Hoàng Văn Thụ, Quận 3, TP.HCM</t>
  </si>
  <si>
    <t>NT029</t>
  </si>
  <si>
    <t>296 Nguyễn Thị Minh Khai, Quận 1, TP.HCM</t>
  </si>
  <si>
    <t>NT030</t>
  </si>
  <si>
    <t>26 Nguyễn Thị Minh Khai, Quận 3, TP.HCM</t>
  </si>
  <si>
    <t>NT031</t>
  </si>
  <si>
    <t>49 Điện Biên Phủ, Tân Bình, TP.HCM</t>
  </si>
  <si>
    <t>NT032</t>
  </si>
  <si>
    <t>155 Trường Chinh, Gò Vấp, TP.HCM</t>
  </si>
  <si>
    <t>NT033</t>
  </si>
  <si>
    <t>245 Xô Viết Nghệ Tĩnh, Thủ Đức, TP.HCM</t>
  </si>
  <si>
    <t>NT034</t>
  </si>
  <si>
    <t>117 Trường Chinh, Bình Thạnh, TP.HCM</t>
  </si>
  <si>
    <t>NT035</t>
  </si>
  <si>
    <t>223 Xô Viết Nghệ Tĩnh, Quận 5, TP.HCM</t>
  </si>
  <si>
    <t>NT036</t>
  </si>
  <si>
    <t>104 Cách Mạng Tháng 8, Tân Bình, TP.HCM</t>
  </si>
  <si>
    <t>NT037</t>
  </si>
  <si>
    <t>268 Điện Biên Phủ, Quận 10, TP.HCM</t>
  </si>
  <si>
    <t>NT038</t>
  </si>
  <si>
    <t>64 Cách Mạng Tháng 8, Quận 3, TP.HCM</t>
  </si>
  <si>
    <t>NT039</t>
  </si>
  <si>
    <t>34 Lê Văn Sỹ, Gò Vấp, TP.HCM</t>
  </si>
  <si>
    <t>NT040</t>
  </si>
  <si>
    <t>268 Trường Chinh, Quận 7, TP.HCM</t>
  </si>
  <si>
    <t>NT041</t>
  </si>
  <si>
    <t>261 Nguyễn Thị Minh Khai, Thủ Đức, TP.HCM</t>
  </si>
  <si>
    <t>NT042</t>
  </si>
  <si>
    <t>121 Hoàng Văn Thụ, Quận 7, TP.HCM</t>
  </si>
  <si>
    <t>NT043</t>
  </si>
  <si>
    <t>245 Hoàng Văn Thụ, Phú Nhuận, TP.HCM</t>
  </si>
  <si>
    <t>NT044</t>
  </si>
  <si>
    <t>260 Hoàng Văn Thụ, Quận 3, TP.HCM</t>
  </si>
  <si>
    <t>NT045</t>
  </si>
  <si>
    <t>127 Hoàng Văn Thụ, Quận 1, TP.HCM</t>
  </si>
  <si>
    <t>NT046</t>
  </si>
  <si>
    <t>124 Nguyễn Văn Cừ, Quận 3, TP.HCM</t>
  </si>
  <si>
    <t>NT047</t>
  </si>
  <si>
    <t>47 Hoàng Văn Thụ, Quận 7, TP.HCM</t>
  </si>
  <si>
    <t>NT048</t>
  </si>
  <si>
    <t>112 Nguyễn Thị Minh Khai, Gò Vấp, TP.HCM</t>
  </si>
  <si>
    <t>NT049</t>
  </si>
  <si>
    <t>238 Nguyễn Văn Cừ, Quận 10, TP.HCM</t>
  </si>
  <si>
    <t>NT050</t>
  </si>
  <si>
    <t>279 Nguyễn Thị Minh Khai, Quận 7, TP.HCM</t>
  </si>
  <si>
    <t>NT051</t>
  </si>
  <si>
    <t>215 Nguyễn Thị Minh Khai, Quận 3, TP.HCM</t>
  </si>
  <si>
    <t>NT052</t>
  </si>
  <si>
    <t>296 Hoàng Văn Thụ, Thủ Đức, TP.HCM</t>
  </si>
  <si>
    <t>NT053</t>
  </si>
  <si>
    <t>246 Trường Chinh, Quận 3, TP.HCM</t>
  </si>
  <si>
    <t>NT054</t>
  </si>
  <si>
    <t>265 Nguyễn Văn Cừ, Gò Vấp, TP.HCM</t>
  </si>
  <si>
    <t>NT055</t>
  </si>
  <si>
    <t>235 Điện Biên Phủ, Tân Bình, TP.HCM</t>
  </si>
  <si>
    <t>NT056</t>
  </si>
  <si>
    <t>103 Cách Mạng Tháng 8, Quận 7, TP.HCM</t>
  </si>
  <si>
    <t>NT057</t>
  </si>
  <si>
    <t>93 Cách Mạng Tháng 8, Quận 5, TP.HCM</t>
  </si>
  <si>
    <t>NT058</t>
  </si>
  <si>
    <t>255 Xô Viết Nghệ Tĩnh, Phú Nhuận, TP.HCM</t>
  </si>
  <si>
    <t>NT059</t>
  </si>
  <si>
    <t>218 Cách Mạng Tháng 8, Quận 7, TP.HCM</t>
  </si>
  <si>
    <t>NT060</t>
  </si>
  <si>
    <t>51 Lê Văn Sỹ, Thủ Đức, TP.HCM</t>
  </si>
  <si>
    <t>NT061</t>
  </si>
  <si>
    <t>156 Điện Biên Phủ, Quận 7, TP.HCM</t>
  </si>
  <si>
    <t>NT062</t>
  </si>
  <si>
    <t>89 Xô Viết Nghệ Tĩnh, Thủ Đức, TP.HCM</t>
  </si>
  <si>
    <t>NT063</t>
  </si>
  <si>
    <t>223 Điện Biên Phủ, Bình Thạnh, TP.HCM</t>
  </si>
  <si>
    <t>NT064</t>
  </si>
  <si>
    <t>63 Hoàng Văn Thụ, Quận 10, TP.HCM</t>
  </si>
  <si>
    <t>NT065</t>
  </si>
  <si>
    <t>286 Xô Viết Nghệ Tĩnh, Quận 10, TP.HCM</t>
  </si>
  <si>
    <t>NT066</t>
  </si>
  <si>
    <t>179 Lê Văn Sỹ, Gò Vấp, TP.HCM</t>
  </si>
  <si>
    <t>NT067</t>
  </si>
  <si>
    <t>263 Cách Mạng Tháng 8, Quận 7, TP.HCM</t>
  </si>
  <si>
    <t>NT068</t>
  </si>
  <si>
    <t>147 Cách Mạng Tháng 8, Quận 10, TP.HCM</t>
  </si>
  <si>
    <t>NT069</t>
  </si>
  <si>
    <t>273 Cách Mạng Tháng 8, Quận 10, TP.HCM</t>
  </si>
  <si>
    <t>NT070</t>
  </si>
  <si>
    <t>26 Lê Văn Sỹ, Quận 1, TP.HCM</t>
  </si>
  <si>
    <t>NT071</t>
  </si>
  <si>
    <t>133 Điện Biên Phủ, Quận 7, TP.HCM</t>
  </si>
  <si>
    <t>NT072</t>
  </si>
  <si>
    <t>60 Điện Biên Phủ, Quận 7, TP.HCM</t>
  </si>
  <si>
    <t>NT073</t>
  </si>
  <si>
    <t>93 Nguyễn Thị Minh Khai, Bình Thạnh, TP.HCM</t>
  </si>
  <si>
    <t>NT074</t>
  </si>
  <si>
    <t>127 Trường Chinh, Tân Bình, TP.HCM</t>
  </si>
  <si>
    <t>NT075</t>
  </si>
  <si>
    <t>278 Nguyễn Văn Cừ, Quận 5, TP.HCM</t>
  </si>
  <si>
    <t>NT076</t>
  </si>
  <si>
    <t>133 Nguyễn Văn Cừ, Quận 5, TP.HCM</t>
  </si>
  <si>
    <t>NT077</t>
  </si>
  <si>
    <t>241 Hoàng Văn Thụ, Gò Vấp, TP.HCM</t>
  </si>
  <si>
    <t>NT078</t>
  </si>
  <si>
    <t>197 Nguyễn Thị Minh Khai, Quận 3, TP.HCM</t>
  </si>
  <si>
    <t>NT079</t>
  </si>
  <si>
    <t>217 Xô Viết Nghệ Tĩnh, Thủ Đức, TP.HCM</t>
  </si>
  <si>
    <t>NT080</t>
  </si>
  <si>
    <t>51 Nguyễn Thị Minh Khai, Bình Thạnh, TP.HCM</t>
  </si>
  <si>
    <t>NT081</t>
  </si>
  <si>
    <t>291 Nguyễn Văn Cừ, Bình Thạnh, TP.HCM</t>
  </si>
  <si>
    <t>NT082</t>
  </si>
  <si>
    <t>257 Trường Chinh, Quận 10, TP.HCM</t>
  </si>
  <si>
    <t>NT083</t>
  </si>
  <si>
    <t>295 Điện Biên Phủ, Thủ Đức, TP.HCM</t>
  </si>
  <si>
    <t>NT084</t>
  </si>
  <si>
    <t>214 Cách Mạng Tháng 8, Phú Nhuận, TP.HCM</t>
  </si>
  <si>
    <t>NT085</t>
  </si>
  <si>
    <t>50 Nguyễn Thị Minh Khai, Quận 3, TP.HCM</t>
  </si>
  <si>
    <t>NT086</t>
  </si>
  <si>
    <t>40 Hoàng Văn Thụ, Quận 5, TP.HCM</t>
  </si>
  <si>
    <t>NT087</t>
  </si>
  <si>
    <t>29 Trường Chinh, Phú Nhuận, TP.HCM</t>
  </si>
  <si>
    <t>NT088</t>
  </si>
  <si>
    <t>114 Xô Viết Nghệ Tĩnh, Quận 7, TP.HCM</t>
  </si>
  <si>
    <t>NT089</t>
  </si>
  <si>
    <t>216 Điện Biên Phủ, Quận 10, TP.HCM</t>
  </si>
  <si>
    <t>NT090</t>
  </si>
  <si>
    <t>80 Hoàng Văn Thụ, Thủ Đức, TP.HCM</t>
  </si>
  <si>
    <t>NT091</t>
  </si>
  <si>
    <t>19 Nguyễn Thị Minh Khai, Phú Nhuận, TP.HCM</t>
  </si>
  <si>
    <t>NT092</t>
  </si>
  <si>
    <t>122 Xô Viết Nghệ Tĩnh, Thủ Đức, TP.HCM</t>
  </si>
  <si>
    <t>NT093</t>
  </si>
  <si>
    <t>158 Trường Chinh, Gò Vấp, TP.HCM</t>
  </si>
  <si>
    <t>NT094</t>
  </si>
  <si>
    <t>80 Cách Mạng Tháng 8, Quận 1, TP.HCM</t>
  </si>
  <si>
    <t>NT095</t>
  </si>
  <si>
    <t>71 Xô Viết Nghệ Tĩnh, Quận 5, TP.HCM</t>
  </si>
  <si>
    <t>NT096</t>
  </si>
  <si>
    <t>254 Xô Viết Nghệ Tĩnh, Quận 5, TP.HCM</t>
  </si>
  <si>
    <t>NT097</t>
  </si>
  <si>
    <t>98 Cách Mạng Tháng 8, Phú Nhuận, TP.HCM</t>
  </si>
  <si>
    <t>NT098</t>
  </si>
  <si>
    <t>224 Nguyễn Thị Minh Khai, Bình Thạnh, TP.HCM</t>
  </si>
  <si>
    <t>NT099</t>
  </si>
  <si>
    <t>225 Xô Viết Nghệ Tĩnh, Quận 3, TP.HCM</t>
  </si>
  <si>
    <t>NT100</t>
  </si>
  <si>
    <t>139 Hoàng Văn Thụ, Quận 10, TP.HCM</t>
  </si>
  <si>
    <t>Điểm DSS</t>
  </si>
  <si>
    <t>Diện tích</t>
  </si>
  <si>
    <t>Tên nhà</t>
  </si>
  <si>
    <t>Căn hộ Studio tại Quận 2 cũ - Thủ Đức</t>
  </si>
  <si>
    <t>Căn hộ 1PN</t>
  </si>
  <si>
    <t>Studio tách bếp tại Quận 7</t>
  </si>
  <si>
    <t>Chung cư mini tại Bình Thạnh</t>
  </si>
  <si>
    <t>Phòng trọ cao cấp tại Tân Bình</t>
  </si>
  <si>
    <t>Căn hộ dịch vụ Nam Kỳ Khởi Nghĩa</t>
  </si>
  <si>
    <t>Chung cư mini Dương Quảng Hàm</t>
  </si>
  <si>
    <t>Nhà trọ 125 Nguyên Hồng</t>
  </si>
  <si>
    <t>Ký Túc Xá Ước Mơ - NVC</t>
  </si>
  <si>
    <t>Nhà Thuê Góc Nhỏ Lê Văn Sỹ</t>
  </si>
  <si>
    <t>Trọ Tiện Ích 247 - NVC</t>
  </si>
  <si>
    <t>Nhà Thuê Mộc - HVT</t>
  </si>
  <si>
    <t>Studio Sunny Điện Biên Phủ</t>
  </si>
  <si>
    <t>Nhà Trọ An Bình - HVT</t>
  </si>
  <si>
    <t>Trọ Cổng Đỏ Hoàng Văn Thụ</t>
  </si>
  <si>
    <t>Xóm Trọ Vui Vẻ XVNT</t>
  </si>
  <si>
    <t>Nhà Trọ Nắng Mới XVNT</t>
  </si>
  <si>
    <t>Nhà Thuê Hy Vọng CMT8</t>
  </si>
  <si>
    <t>Trọ Thảnh Thơi Lê Văn Sỹ</t>
  </si>
  <si>
    <t>Ký Túc Xá Gắn Kết NVC</t>
  </si>
  <si>
    <t>Nhà Thuê Bạn Hữu Lê Văn Sỹ</t>
  </si>
  <si>
    <t>Trọ Sinh Viên NVC</t>
  </si>
  <si>
    <t>Nhà Thuê Sân Trước NVC</t>
  </si>
  <si>
    <t>Trọ An Tâm Trường Chinh</t>
  </si>
  <si>
    <t>Nhà Trọ Trung Tâm 230</t>
  </si>
  <si>
    <t>Nhà Thuê Gió Mát HVT</t>
  </si>
  <si>
    <t>Trọ Nhỏ Minh Khai</t>
  </si>
  <si>
    <t>Nhà Trọ Tĩnh Tâm Minh Khai</t>
  </si>
  <si>
    <t>Căn Hộ Dịch Vụ ĐBP</t>
  </si>
  <si>
    <t>Trọ Hiện Đại Trường Chinh</t>
  </si>
  <si>
    <t>Nhà Trọ Bình Yên XVNT</t>
  </si>
  <si>
    <t>Nhà Trọ Bốn Mùa Trường Chinh</t>
  </si>
  <si>
    <t>Trọ Năng Động XVNT</t>
  </si>
  <si>
    <t>Nhà Trọ Thảnh Thơi ĐBP</t>
  </si>
  <si>
    <t>Nhà Thuê Cổng Vàng CMT8</t>
  </si>
  <si>
    <t>Dorm Chỗ Ngủ Ngon Lê Văn Sỹ</t>
  </si>
  <si>
    <t>Studio Yên Tĩnh Minh Khai</t>
  </si>
  <si>
    <t>Phòng trọ gác cao 80 HVT</t>
  </si>
  <si>
    <t>Căn hộ dịch vụ Q3 (Hẻm 216 ĐBP)</t>
  </si>
  <si>
    <t>Nhà trọ lối đi chung 114 XVNT</t>
  </si>
  <si>
    <t>Phòng trọ gần ngã tư 29 Trường Chinh</t>
  </si>
  <si>
    <t>Studio hẻm 40 Hoàng Văn Thụ</t>
  </si>
  <si>
    <t>Dãy trọ 50 Nguyễn Thị Minh Khai</t>
  </si>
  <si>
    <t>Nhà nguyên căn nhỏ 214 CMT8</t>
  </si>
  <si>
    <t>Phòng trọ ban công 295 ĐBP</t>
  </si>
  <si>
    <t>Căn hộ dịch vụ 257 Trường Chinh</t>
  </si>
  <si>
    <t>Chung cư mini hẻm 291 NVC</t>
  </si>
  <si>
    <t>Nhà thuê lầu 2 - 51 Minh Khai</t>
  </si>
  <si>
    <t>Nhà trọ hẻm cụt 217 XVNT</t>
  </si>
  <si>
    <t>Phòng trọ 197 Nguyễn Thị Minh Khai</t>
  </si>
  <si>
    <t>Căn hộ mini hẻm 241 HVT</t>
  </si>
  <si>
    <t>Nhà trọ tự quản 133 NVC</t>
  </si>
  <si>
    <t>Phòng trọ giá rẻ hẻm 278 NVC</t>
  </si>
  <si>
    <t>Dãy trọ sinh viên 127 Trường Chinh</t>
  </si>
  <si>
    <t>Phòng trọ nhỏ hẻm 93 Minh Khai</t>
  </si>
  <si>
    <t>Studio sân thượng 60 ĐBP</t>
  </si>
  <si>
    <t>Phòng trọ gần sân bay 133 ĐBP</t>
  </si>
  <si>
    <t>Nhà trọ tập thể 26 Lê Văn Sỹ</t>
  </si>
  <si>
    <t>Sleepbox cao cấp 273 CMT8</t>
  </si>
  <si>
    <t>Nhà trọ khóa vân tay 147 CMT8</t>
  </si>
  <si>
    <t>Studio Full nội thất 263 CMT8</t>
  </si>
  <si>
    <t>Căn hộ mini 179 Lê Văn Sỹ</t>
  </si>
  <si>
    <t>Phòng trọ gác gỗ 286 XVNT</t>
  </si>
  <si>
    <t>Nhà thuê nguyên lầu 63 HVT</t>
  </si>
  <si>
    <t>Căn hộ cao cấp hẻm 223 ĐBP</t>
  </si>
  <si>
    <t>Phòng trọ cửa sổ lớn 89 XVNT</t>
  </si>
  <si>
    <t>Studio tách bếp 156 Điện Biên Phủ</t>
  </si>
  <si>
    <t>KTX máy lạnh 51 Lê Văn Sỹ</t>
  </si>
  <si>
    <t>Căn hộ mini có thang máy 218 CMT8</t>
  </si>
  <si>
    <t>Nhà trọ 255 Xô Viết Nghệ Tĩnh</t>
  </si>
  <si>
    <t>Phòng trọ hẻm xe hơi 93 CMT8</t>
  </si>
  <si>
    <t>Căn hộ dịch vụ hẻm 103 CMT8</t>
  </si>
  <si>
    <t>Dãy trọ mới sơn 235 Điện Biên Phủ</t>
  </si>
  <si>
    <t>Phòng trọ công nhân 265 NVC</t>
  </si>
  <si>
    <t>Nhà trọ cao tầng 246 Trường Chinh</t>
  </si>
  <si>
    <t>Căn hộ mini mới xây 296 HVT</t>
  </si>
  <si>
    <t>Phòng trọ lửng đúc 215 Minh Khai</t>
  </si>
  <si>
    <t>Nhà trọ gần Lotte Mart Q7</t>
  </si>
  <si>
    <t>Studio ban công hẻm 238 NVC</t>
  </si>
  <si>
    <t>Chung cư mini 112 Minh Khai</t>
  </si>
  <si>
    <t>Phòng trọ sinh viên - 47 HVT</t>
  </si>
  <si>
    <t>Nhà trọ giá rẻ hẻm 124 NVC</t>
  </si>
  <si>
    <t>Phòng trọ lối đi riêng - 127 HVT</t>
  </si>
  <si>
    <t>Căn hộ dịch vụ 260 HVT (Full nội thất)</t>
  </si>
  <si>
    <t>Nhà ngăn phòng 245 Hoàng Văn Thụ</t>
  </si>
  <si>
    <t>Phòng trọ lầu 1 - 121 Hoàng Văn Thụ</t>
  </si>
  <si>
    <t>Nhà nguyên căn hẻm 268 Trường Chinh</t>
  </si>
  <si>
    <t>Phòng trọ giá rẻ 122 Xô Viết Nghệ Tĩnh</t>
  </si>
  <si>
    <t>Studio tách bếp 158 Trường Chinh</t>
  </si>
  <si>
    <t>Nhà trọ lầu 3 - 80 Cách Mạng Tháng 8</t>
  </si>
  <si>
    <t>Dãy trọ công nhân 71 XVNT</t>
  </si>
  <si>
    <t>Căn hộ mini mới sơn 254 XVNT</t>
  </si>
  <si>
    <t>Phòng trọ gác gỗ 98 CMT8</t>
  </si>
  <si>
    <t>Nhà trọ lối đi riêng 224 Minh Khai</t>
  </si>
  <si>
    <t>Chung cư mini 225 Xô Viết Nghệ Tĩnh</t>
  </si>
  <si>
    <t>Nhà trọ ban công 139 Hoàng Văn Thụ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</si>
</sst>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L18" sqref="L18"/>
    </sheetView>
  </sheetViews>
  <sheetFormatPr defaultColWidth="9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ColWidth="9" defaultRowHeight="14.5"/>
  <sheetData>
    <row r="1" spans="1:5">
      <c r="B1" t="s">
        <v>3</v>
      </c>
      <c r="C1" t="s">
        <v>4</v>
      </c>
      <c r="D1" t="s">
        <v>5</v>
      </c>
      <c r="E1" t="s">
        <v>6</v>
      </c>
    </row>
    <row r="2" spans="1:5">
      <c r="A2" t="s">
        <v>3</v>
      </c>
      <c r="B2">
        <v>1</v>
      </c>
      <c r="C2">
        <v>3</v>
      </c>
      <c r="D2">
        <v>5</v>
      </c>
      <c r="E2">
        <v>7</v>
      </c>
    </row>
    <row r="3" spans="1:5">
      <c r="A3" t="s">
        <v>4</v>
      </c>
      <c r="B3">
        <f>1/3</f>
        <v>0.33333333333333298</v>
      </c>
      <c r="C3">
        <v>1</v>
      </c>
      <c r="D3">
        <v>3</v>
      </c>
      <c r="E3">
        <v>5</v>
      </c>
    </row>
    <row r="4" spans="1:5">
      <c r="A4" t="s">
        <v>5</v>
      </c>
      <c r="B4">
        <f>1/5</f>
        <v>0.2</v>
      </c>
      <c r="C4">
        <f>1/3</f>
        <v>0.33333333333333298</v>
      </c>
      <c r="D4">
        <v>1</v>
      </c>
      <c r="E4">
        <v>3</v>
      </c>
    </row>
    <row r="5" spans="1:5">
      <c r="A5" t="s">
        <v>6</v>
      </c>
      <c r="B5">
        <f>1/7</f>
        <v>0.14285714285714299</v>
      </c>
      <c r="C5">
        <f>1/5</f>
        <v>0.2</v>
      </c>
      <c r="D5">
        <f>1/3</f>
        <v>0.33333333333333298</v>
      </c>
      <c r="E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ColWidth="9" defaultRowHeight="14.5"/>
  <sheetData>
    <row r="1" spans="1:5">
      <c r="B1" t="s">
        <v>3</v>
      </c>
      <c r="C1" t="s">
        <v>4</v>
      </c>
      <c r="D1" t="s">
        <v>5</v>
      </c>
      <c r="E1" t="s">
        <v>6</v>
      </c>
    </row>
    <row r="2" spans="1:5">
      <c r="A2" t="s">
        <v>3</v>
      </c>
      <c r="B2">
        <f>Criteria_Pairwise!B2/SUM(Criteria_Pairwise!B2:B5)</f>
        <v>0.59659090909090895</v>
      </c>
      <c r="C2">
        <f>Criteria_Pairwise!C2/SUM(Criteria_Pairwise!C2:C5)</f>
        <v>0.66176470588235303</v>
      </c>
      <c r="D2">
        <f>Criteria_Pairwise!D2/SUM(Criteria_Pairwise!D2:D5)</f>
        <v>0.53571428571428603</v>
      </c>
      <c r="E2">
        <f>Criteria_Pairwise!E2/SUM(Criteria_Pairwise!E2:E5)</f>
        <v>0.4375</v>
      </c>
    </row>
    <row r="3" spans="1:5">
      <c r="A3" t="s">
        <v>4</v>
      </c>
      <c r="B3">
        <f>Criteria_Pairwise!B3/SUM(Criteria_Pairwise!B2:B5)</f>
        <v>0.19886363636363599</v>
      </c>
      <c r="C3">
        <f>Criteria_Pairwise!C3/SUM(Criteria_Pairwise!C2:C5)</f>
        <v>0.220588235294118</v>
      </c>
      <c r="D3">
        <f>Criteria_Pairwise!D3/SUM(Criteria_Pairwise!D2:D5)</f>
        <v>0.32142857142857101</v>
      </c>
      <c r="E3">
        <f>Criteria_Pairwise!E3/SUM(Criteria_Pairwise!E2:E5)</f>
        <v>0.3125</v>
      </c>
    </row>
    <row r="4" spans="1:5">
      <c r="A4" t="s">
        <v>5</v>
      </c>
      <c r="B4">
        <f>Criteria_Pairwise!B4/SUM(Criteria_Pairwise!B2:B5)</f>
        <v>0.119318181818182</v>
      </c>
      <c r="C4">
        <f>Criteria_Pairwise!C4/SUM(Criteria_Pairwise!C2:C5)</f>
        <v>7.3529411764705899E-2</v>
      </c>
      <c r="D4">
        <f>Criteria_Pairwise!D4/SUM(Criteria_Pairwise!D2:D5)</f>
        <v>0.107142857142857</v>
      </c>
      <c r="E4">
        <f>Criteria_Pairwise!E4/SUM(Criteria_Pairwise!E2:E5)</f>
        <v>0.1875</v>
      </c>
    </row>
    <row r="5" spans="1:5">
      <c r="A5" t="s">
        <v>6</v>
      </c>
      <c r="B5">
        <f>Criteria_Pairwise!B5/SUM(Criteria_Pairwise!B2:B5)</f>
        <v>8.5227272727272693E-2</v>
      </c>
      <c r="C5">
        <f>Criteria_Pairwise!C5/SUM(Criteria_Pairwise!C2:C5)</f>
        <v>4.4117647058823498E-2</v>
      </c>
      <c r="D5">
        <f>Criteria_Pairwise!D5/SUM(Criteria_Pairwise!D2:D5)</f>
        <v>3.5714285714285698E-2</v>
      </c>
      <c r="E5">
        <f>Criteria_Pairwise!E5/SUM(Criteria_Pairwise!E2:E5)</f>
        <v>6.25E-2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ColWidth="9" defaultRowHeight="14.5"/>
  <sheetData>
    <row r="1" spans="1:2">
      <c r="A1" t="s">
        <v>7</v>
      </c>
      <c r="B1" t="s">
        <v>8</v>
      </c>
    </row>
    <row r="2" spans="1:2">
      <c r="A2" t="s">
        <v>3</v>
      </c>
      <c r="B2">
        <f>AVERAGE(Normalization_AHP!B2:E2)</f>
        <v>0.557892475171887</v>
      </c>
    </row>
    <row r="3" spans="1:2">
      <c r="A3" t="s">
        <v>4</v>
      </c>
      <c r="B3">
        <f>AVERAGE(Normalization_AHP!B3:E3)</f>
        <v>0.26334511077158101</v>
      </c>
    </row>
    <row r="4" spans="1:2">
      <c r="A4" t="s">
        <v>5</v>
      </c>
      <c r="B4">
        <f>AVERAGE(Normalization_AHP!B4:E4)</f>
        <v>0.121872612681436</v>
      </c>
    </row>
    <row r="5" spans="1:2">
      <c r="A5" t="s">
        <v>6</v>
      </c>
      <c r="B5">
        <f>AVERAGE(Normalization_AHP!B5:E5)</f>
        <v>5.68898013750955E-2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tabSelected="1" topLeftCell="A89" workbookViewId="0">
      <selection activeCell="M99" sqref="M99"/>
    </sheetView>
  </sheetViews>
  <sheetFormatPr defaultColWidth="9" defaultRowHeight="14.5"/>
  <sheetData>
    <row r="1" spans="1:9">
      <c r="A1" t="s">
        <v>9</v>
      </c>
      <c r="B1" t="s">
        <v>224</v>
      </c>
      <c r="C1" t="s">
        <v>10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223</v>
      </c>
    </row>
    <row r="2" spans="1:9">
      <c r="A2" t="s">
        <v>12</v>
      </c>
      <c r="B2" t="s">
        <v>225</v>
      </c>
      <c r="C2" t="s">
        <v>13</v>
      </c>
      <c r="D2" t="s">
        <v>14</v>
      </c>
      <c r="E2">
        <v>3</v>
      </c>
      <c r="F2">
        <v>1.8</v>
      </c>
      <c r="G2">
        <v>5</v>
      </c>
      <c r="H2">
        <v>9</v>
      </c>
      <c r="I2">
        <f ca="1">RANDBETWEEN(1, 5)</f>
        <v>5</v>
      </c>
    </row>
    <row r="3" spans="1:9">
      <c r="A3" t="s">
        <v>15</v>
      </c>
      <c r="B3" t="s">
        <v>227</v>
      </c>
      <c r="C3" t="s">
        <v>16</v>
      </c>
      <c r="D3" t="s">
        <v>17</v>
      </c>
      <c r="E3">
        <v>3.2</v>
      </c>
      <c r="F3">
        <v>4.3</v>
      </c>
      <c r="G3">
        <v>9</v>
      </c>
      <c r="H3">
        <v>5</v>
      </c>
      <c r="I3">
        <f t="shared" ref="I3:I66" ca="1" si="0">RANDBETWEEN(1, 5)</f>
        <v>1</v>
      </c>
    </row>
    <row r="4" spans="1:9">
      <c r="A4" t="s">
        <v>18</v>
      </c>
      <c r="B4" t="s">
        <v>233</v>
      </c>
      <c r="C4" t="s">
        <v>19</v>
      </c>
      <c r="D4" t="s">
        <v>14</v>
      </c>
      <c r="E4">
        <v>5</v>
      </c>
      <c r="F4">
        <v>4.7</v>
      </c>
      <c r="G4">
        <v>7</v>
      </c>
      <c r="H4">
        <v>7</v>
      </c>
      <c r="I4">
        <f t="shared" ca="1" si="0"/>
        <v>4</v>
      </c>
    </row>
    <row r="5" spans="1:9">
      <c r="A5" t="s">
        <v>20</v>
      </c>
      <c r="B5" t="s">
        <v>226</v>
      </c>
      <c r="C5" t="s">
        <v>21</v>
      </c>
      <c r="D5" t="s">
        <v>22</v>
      </c>
      <c r="E5">
        <v>2.9</v>
      </c>
      <c r="F5">
        <v>0.9</v>
      </c>
      <c r="G5">
        <v>8</v>
      </c>
      <c r="H5">
        <v>6</v>
      </c>
      <c r="I5">
        <f t="shared" ca="1" si="0"/>
        <v>1</v>
      </c>
    </row>
    <row r="6" spans="1:9">
      <c r="A6" t="s">
        <v>23</v>
      </c>
      <c r="B6" t="s">
        <v>234</v>
      </c>
      <c r="C6" t="s">
        <v>24</v>
      </c>
      <c r="D6" t="s">
        <v>22</v>
      </c>
      <c r="E6">
        <v>4</v>
      </c>
      <c r="F6">
        <v>2.5</v>
      </c>
      <c r="G6">
        <v>8</v>
      </c>
      <c r="H6">
        <v>6</v>
      </c>
      <c r="I6">
        <f t="shared" ca="1" si="0"/>
        <v>1</v>
      </c>
    </row>
    <row r="7" spans="1:9">
      <c r="A7" t="s">
        <v>25</v>
      </c>
      <c r="B7" t="s">
        <v>235</v>
      </c>
      <c r="C7" t="s">
        <v>26</v>
      </c>
      <c r="D7" t="s">
        <v>27</v>
      </c>
      <c r="E7">
        <v>4</v>
      </c>
      <c r="F7">
        <v>4.9000000000000004</v>
      </c>
      <c r="G7">
        <v>7</v>
      </c>
      <c r="H7">
        <v>6</v>
      </c>
      <c r="I7">
        <f t="shared" ca="1" si="0"/>
        <v>1</v>
      </c>
    </row>
    <row r="8" spans="1:9">
      <c r="A8" t="s">
        <v>28</v>
      </c>
      <c r="B8" t="s">
        <v>236</v>
      </c>
      <c r="C8" t="s">
        <v>29</v>
      </c>
      <c r="D8" t="s">
        <v>27</v>
      </c>
      <c r="E8">
        <v>3.5</v>
      </c>
      <c r="F8">
        <v>3.5</v>
      </c>
      <c r="G8">
        <v>9</v>
      </c>
      <c r="H8">
        <v>9</v>
      </c>
      <c r="I8">
        <f t="shared" ca="1" si="0"/>
        <v>3</v>
      </c>
    </row>
    <row r="9" spans="1:9">
      <c r="A9" t="s">
        <v>30</v>
      </c>
      <c r="B9" t="s">
        <v>237</v>
      </c>
      <c r="C9" t="s">
        <v>31</v>
      </c>
      <c r="D9" t="s">
        <v>22</v>
      </c>
      <c r="E9">
        <v>5.0999999999999996</v>
      </c>
      <c r="F9">
        <v>4.2</v>
      </c>
      <c r="G9">
        <v>6</v>
      </c>
      <c r="H9">
        <v>7</v>
      </c>
      <c r="I9">
        <f t="shared" ca="1" si="0"/>
        <v>2</v>
      </c>
    </row>
    <row r="10" spans="1:9">
      <c r="A10" t="s">
        <v>32</v>
      </c>
      <c r="B10" t="s">
        <v>227</v>
      </c>
      <c r="C10" t="s">
        <v>33</v>
      </c>
      <c r="D10" t="s">
        <v>17</v>
      </c>
      <c r="E10">
        <v>5.4</v>
      </c>
      <c r="F10">
        <v>0.8</v>
      </c>
      <c r="G10">
        <v>6</v>
      </c>
      <c r="H10">
        <v>8</v>
      </c>
      <c r="I10">
        <f t="shared" ca="1" si="0"/>
        <v>2</v>
      </c>
    </row>
    <row r="11" spans="1:9">
      <c r="A11" t="s">
        <v>34</v>
      </c>
      <c r="B11" t="s">
        <v>231</v>
      </c>
      <c r="C11" t="s">
        <v>35</v>
      </c>
      <c r="D11" t="s">
        <v>36</v>
      </c>
      <c r="E11">
        <v>4.0999999999999996</v>
      </c>
      <c r="F11">
        <v>4.0999999999999996</v>
      </c>
      <c r="G11">
        <v>6</v>
      </c>
      <c r="H11">
        <v>8</v>
      </c>
      <c r="I11">
        <f t="shared" ca="1" si="0"/>
        <v>3</v>
      </c>
    </row>
    <row r="12" spans="1:9">
      <c r="A12" t="s">
        <v>37</v>
      </c>
      <c r="B12" t="s">
        <v>230</v>
      </c>
      <c r="C12" t="s">
        <v>38</v>
      </c>
      <c r="D12" t="s">
        <v>39</v>
      </c>
      <c r="E12">
        <v>4.8</v>
      </c>
      <c r="F12">
        <v>4.4000000000000004</v>
      </c>
      <c r="G12">
        <v>8</v>
      </c>
      <c r="H12">
        <v>8</v>
      </c>
      <c r="I12">
        <f t="shared" ca="1" si="0"/>
        <v>1</v>
      </c>
    </row>
    <row r="13" spans="1:9">
      <c r="A13" t="s">
        <v>40</v>
      </c>
      <c r="B13" t="s">
        <v>238</v>
      </c>
      <c r="C13" t="s">
        <v>41</v>
      </c>
      <c r="D13" t="s">
        <v>42</v>
      </c>
      <c r="E13">
        <v>4.8</v>
      </c>
      <c r="F13">
        <v>4.3</v>
      </c>
      <c r="G13">
        <v>9</v>
      </c>
      <c r="H13">
        <v>7</v>
      </c>
      <c r="I13">
        <f t="shared" ca="1" si="0"/>
        <v>2</v>
      </c>
    </row>
    <row r="14" spans="1:9">
      <c r="A14" t="s">
        <v>43</v>
      </c>
      <c r="B14" t="s">
        <v>228</v>
      </c>
      <c r="C14" t="s">
        <v>44</v>
      </c>
      <c r="D14" t="s">
        <v>45</v>
      </c>
      <c r="E14">
        <v>3</v>
      </c>
      <c r="F14">
        <v>3.2</v>
      </c>
      <c r="G14">
        <v>7</v>
      </c>
      <c r="H14">
        <v>5</v>
      </c>
      <c r="I14">
        <f t="shared" ca="1" si="0"/>
        <v>2</v>
      </c>
    </row>
    <row r="15" spans="1:9">
      <c r="A15" t="s">
        <v>46</v>
      </c>
      <c r="B15" t="s">
        <v>228</v>
      </c>
      <c r="C15" t="s">
        <v>47</v>
      </c>
      <c r="D15" t="s">
        <v>45</v>
      </c>
      <c r="E15">
        <v>4.9000000000000004</v>
      </c>
      <c r="F15">
        <v>4.7</v>
      </c>
      <c r="G15">
        <v>8</v>
      </c>
      <c r="H15">
        <v>7</v>
      </c>
      <c r="I15">
        <f t="shared" ca="1" si="0"/>
        <v>4</v>
      </c>
    </row>
    <row r="16" spans="1:9">
      <c r="A16" t="s">
        <v>48</v>
      </c>
      <c r="B16" t="s">
        <v>239</v>
      </c>
      <c r="C16" t="s">
        <v>49</v>
      </c>
      <c r="D16" t="s">
        <v>50</v>
      </c>
      <c r="E16">
        <v>3.1</v>
      </c>
      <c r="F16">
        <v>1.3</v>
      </c>
      <c r="G16">
        <v>7</v>
      </c>
      <c r="H16">
        <v>6</v>
      </c>
      <c r="I16">
        <f t="shared" ca="1" si="0"/>
        <v>5</v>
      </c>
    </row>
    <row r="17" spans="1:9">
      <c r="A17" t="s">
        <v>51</v>
      </c>
      <c r="B17" t="s">
        <v>240</v>
      </c>
      <c r="C17" t="s">
        <v>52</v>
      </c>
      <c r="D17" t="s">
        <v>27</v>
      </c>
      <c r="E17">
        <v>3.7</v>
      </c>
      <c r="F17">
        <v>3.7</v>
      </c>
      <c r="G17">
        <v>8</v>
      </c>
      <c r="H17">
        <v>6</v>
      </c>
      <c r="I17">
        <f t="shared" ca="1" si="0"/>
        <v>1</v>
      </c>
    </row>
    <row r="18" spans="1:9">
      <c r="A18" t="s">
        <v>53</v>
      </c>
      <c r="B18" t="s">
        <v>241</v>
      </c>
      <c r="C18" t="s">
        <v>54</v>
      </c>
      <c r="D18" t="s">
        <v>45</v>
      </c>
      <c r="E18">
        <v>3.4</v>
      </c>
      <c r="F18">
        <v>4.8</v>
      </c>
      <c r="G18">
        <v>6</v>
      </c>
      <c r="H18">
        <v>6</v>
      </c>
      <c r="I18">
        <f t="shared" ca="1" si="0"/>
        <v>3</v>
      </c>
    </row>
    <row r="19" spans="1:9">
      <c r="A19" t="s">
        <v>55</v>
      </c>
      <c r="B19" t="s">
        <v>229</v>
      </c>
      <c r="C19" t="s">
        <v>56</v>
      </c>
      <c r="D19" t="s">
        <v>57</v>
      </c>
      <c r="E19">
        <v>4</v>
      </c>
      <c r="F19">
        <v>2.1</v>
      </c>
      <c r="G19">
        <v>8</v>
      </c>
      <c r="H19">
        <v>6</v>
      </c>
      <c r="I19">
        <f t="shared" ca="1" si="0"/>
        <v>3</v>
      </c>
    </row>
    <row r="20" spans="1:9">
      <c r="A20" t="s">
        <v>58</v>
      </c>
      <c r="B20" t="s">
        <v>242</v>
      </c>
      <c r="C20" t="s">
        <v>59</v>
      </c>
      <c r="D20" t="s">
        <v>14</v>
      </c>
      <c r="E20">
        <v>3.5</v>
      </c>
      <c r="F20">
        <v>3.3</v>
      </c>
      <c r="G20">
        <v>9</v>
      </c>
      <c r="H20">
        <v>8</v>
      </c>
      <c r="I20">
        <f t="shared" ca="1" si="0"/>
        <v>5</v>
      </c>
    </row>
    <row r="21" spans="1:9">
      <c r="A21" t="s">
        <v>60</v>
      </c>
      <c r="B21" t="s">
        <v>243</v>
      </c>
      <c r="C21" t="s">
        <v>61</v>
      </c>
      <c r="D21" t="s">
        <v>39</v>
      </c>
      <c r="E21">
        <v>3.2</v>
      </c>
      <c r="F21">
        <v>3.5</v>
      </c>
      <c r="G21">
        <v>8</v>
      </c>
      <c r="H21">
        <v>5</v>
      </c>
      <c r="I21">
        <f t="shared" ca="1" si="0"/>
        <v>3</v>
      </c>
    </row>
    <row r="22" spans="1:9">
      <c r="A22" t="s">
        <v>62</v>
      </c>
      <c r="B22" t="s">
        <v>244</v>
      </c>
      <c r="C22" t="s">
        <v>63</v>
      </c>
      <c r="D22" t="s">
        <v>45</v>
      </c>
      <c r="E22">
        <v>4.4000000000000004</v>
      </c>
      <c r="F22">
        <v>2.2999999999999998</v>
      </c>
      <c r="G22">
        <v>8</v>
      </c>
      <c r="H22">
        <v>9</v>
      </c>
      <c r="I22">
        <f t="shared" ca="1" si="0"/>
        <v>1</v>
      </c>
    </row>
    <row r="23" spans="1:9">
      <c r="A23" t="s">
        <v>64</v>
      </c>
      <c r="B23" t="s">
        <v>245</v>
      </c>
      <c r="C23" t="s">
        <v>65</v>
      </c>
      <c r="D23" t="s">
        <v>45</v>
      </c>
      <c r="E23">
        <v>4.8</v>
      </c>
      <c r="F23">
        <v>1.9</v>
      </c>
      <c r="G23">
        <v>7</v>
      </c>
      <c r="H23">
        <v>8</v>
      </c>
      <c r="I23">
        <f t="shared" ca="1" si="0"/>
        <v>2</v>
      </c>
    </row>
    <row r="24" spans="1:9">
      <c r="A24" t="s">
        <v>66</v>
      </c>
      <c r="B24" t="s">
        <v>246</v>
      </c>
      <c r="C24" t="s">
        <v>67</v>
      </c>
      <c r="D24" t="s">
        <v>45</v>
      </c>
      <c r="E24">
        <v>5.2</v>
      </c>
      <c r="F24">
        <v>0.7</v>
      </c>
      <c r="G24">
        <v>7</v>
      </c>
      <c r="H24">
        <v>9</v>
      </c>
      <c r="I24">
        <f t="shared" ca="1" si="0"/>
        <v>2</v>
      </c>
    </row>
    <row r="25" spans="1:9">
      <c r="A25" t="s">
        <v>68</v>
      </c>
      <c r="B25" t="s">
        <v>247</v>
      </c>
      <c r="C25" t="s">
        <v>69</v>
      </c>
      <c r="D25" t="s">
        <v>27</v>
      </c>
      <c r="E25">
        <v>5.2</v>
      </c>
      <c r="F25">
        <v>1.8</v>
      </c>
      <c r="G25">
        <v>9</v>
      </c>
      <c r="H25">
        <v>5</v>
      </c>
      <c r="I25">
        <f t="shared" ca="1" si="0"/>
        <v>2</v>
      </c>
    </row>
    <row r="26" spans="1:9">
      <c r="A26" t="s">
        <v>70</v>
      </c>
      <c r="B26" t="s">
        <v>248</v>
      </c>
      <c r="C26" t="s">
        <v>71</v>
      </c>
      <c r="D26" t="s">
        <v>22</v>
      </c>
      <c r="E26">
        <v>2.9</v>
      </c>
      <c r="F26">
        <v>1.5</v>
      </c>
      <c r="G26">
        <v>6</v>
      </c>
      <c r="H26">
        <v>8</v>
      </c>
      <c r="I26">
        <f t="shared" ca="1" si="0"/>
        <v>5</v>
      </c>
    </row>
    <row r="27" spans="1:9">
      <c r="A27" t="s">
        <v>72</v>
      </c>
      <c r="B27" t="s">
        <v>249</v>
      </c>
      <c r="C27" t="s">
        <v>73</v>
      </c>
      <c r="D27" t="s">
        <v>14</v>
      </c>
      <c r="E27">
        <v>3.1</v>
      </c>
      <c r="F27">
        <v>3.7</v>
      </c>
      <c r="G27">
        <v>8</v>
      </c>
      <c r="H27">
        <v>8</v>
      </c>
      <c r="I27">
        <f t="shared" ca="1" si="0"/>
        <v>5</v>
      </c>
    </row>
    <row r="28" spans="1:9">
      <c r="A28" t="s">
        <v>74</v>
      </c>
      <c r="B28" t="s">
        <v>250</v>
      </c>
      <c r="C28" t="s">
        <v>75</v>
      </c>
      <c r="D28" t="s">
        <v>22</v>
      </c>
      <c r="E28">
        <v>3.3</v>
      </c>
      <c r="F28">
        <v>1.6</v>
      </c>
      <c r="G28">
        <v>6</v>
      </c>
      <c r="H28">
        <v>7</v>
      </c>
      <c r="I28">
        <f t="shared" ca="1" si="0"/>
        <v>1</v>
      </c>
    </row>
    <row r="29" spans="1:9">
      <c r="A29" t="s">
        <v>76</v>
      </c>
      <c r="B29" t="s">
        <v>251</v>
      </c>
      <c r="C29" t="s">
        <v>77</v>
      </c>
      <c r="D29" t="s">
        <v>42</v>
      </c>
      <c r="E29">
        <v>2.9</v>
      </c>
      <c r="F29">
        <v>0.6</v>
      </c>
      <c r="G29">
        <v>7</v>
      </c>
      <c r="H29">
        <v>6</v>
      </c>
      <c r="I29">
        <f t="shared" ca="1" si="0"/>
        <v>5</v>
      </c>
    </row>
    <row r="30" spans="1:9">
      <c r="A30" t="s">
        <v>78</v>
      </c>
      <c r="B30" t="s">
        <v>252</v>
      </c>
      <c r="C30" t="s">
        <v>79</v>
      </c>
      <c r="D30" t="s">
        <v>42</v>
      </c>
      <c r="E30">
        <v>3.2</v>
      </c>
      <c r="F30">
        <v>4.8</v>
      </c>
      <c r="G30">
        <v>6</v>
      </c>
      <c r="H30">
        <v>6</v>
      </c>
      <c r="I30">
        <f t="shared" ca="1" si="0"/>
        <v>1</v>
      </c>
    </row>
    <row r="31" spans="1:9">
      <c r="A31" t="s">
        <v>80</v>
      </c>
      <c r="B31" t="s">
        <v>253</v>
      </c>
      <c r="C31" t="s">
        <v>81</v>
      </c>
      <c r="D31" t="s">
        <v>27</v>
      </c>
      <c r="E31">
        <v>3</v>
      </c>
      <c r="F31">
        <v>3.9</v>
      </c>
      <c r="G31">
        <v>5</v>
      </c>
      <c r="H31">
        <v>9</v>
      </c>
      <c r="I31">
        <f t="shared" ca="1" si="0"/>
        <v>1</v>
      </c>
    </row>
    <row r="32" spans="1:9">
      <c r="A32" t="s">
        <v>82</v>
      </c>
      <c r="B32" t="s">
        <v>254</v>
      </c>
      <c r="C32" t="s">
        <v>83</v>
      </c>
      <c r="D32" t="s">
        <v>39</v>
      </c>
      <c r="E32">
        <v>3.5</v>
      </c>
      <c r="F32">
        <v>3.1</v>
      </c>
      <c r="G32">
        <v>9</v>
      </c>
      <c r="H32">
        <v>7</v>
      </c>
      <c r="I32">
        <f t="shared" ca="1" si="0"/>
        <v>3</v>
      </c>
    </row>
    <row r="33" spans="1:9">
      <c r="A33" t="s">
        <v>84</v>
      </c>
      <c r="B33" t="s">
        <v>255</v>
      </c>
      <c r="C33" t="s">
        <v>85</v>
      </c>
      <c r="D33" t="s">
        <v>50</v>
      </c>
      <c r="E33">
        <v>4.5</v>
      </c>
      <c r="F33">
        <v>3</v>
      </c>
      <c r="G33">
        <v>9</v>
      </c>
      <c r="H33">
        <v>5</v>
      </c>
      <c r="I33">
        <f t="shared" ca="1" si="0"/>
        <v>4</v>
      </c>
    </row>
    <row r="34" spans="1:9">
      <c r="A34" t="s">
        <v>86</v>
      </c>
      <c r="B34" t="s">
        <v>256</v>
      </c>
      <c r="C34" t="s">
        <v>87</v>
      </c>
      <c r="D34" t="s">
        <v>45</v>
      </c>
      <c r="E34">
        <v>2.8</v>
      </c>
      <c r="F34">
        <v>2.2999999999999998</v>
      </c>
      <c r="G34">
        <v>5</v>
      </c>
      <c r="H34">
        <v>9</v>
      </c>
      <c r="I34">
        <f t="shared" ca="1" si="0"/>
        <v>5</v>
      </c>
    </row>
    <row r="35" spans="1:9">
      <c r="A35" t="s">
        <v>88</v>
      </c>
      <c r="B35" t="s">
        <v>257</v>
      </c>
      <c r="C35" t="s">
        <v>89</v>
      </c>
      <c r="D35" t="s">
        <v>27</v>
      </c>
      <c r="E35">
        <v>5.2</v>
      </c>
      <c r="F35">
        <v>2.2000000000000002</v>
      </c>
      <c r="G35">
        <v>8</v>
      </c>
      <c r="H35">
        <v>5</v>
      </c>
      <c r="I35">
        <f t="shared" ca="1" si="0"/>
        <v>4</v>
      </c>
    </row>
    <row r="36" spans="1:9">
      <c r="A36" t="s">
        <v>90</v>
      </c>
      <c r="B36" t="s">
        <v>258</v>
      </c>
      <c r="C36" t="s">
        <v>91</v>
      </c>
      <c r="D36" t="s">
        <v>27</v>
      </c>
      <c r="E36">
        <v>4.7</v>
      </c>
      <c r="F36">
        <v>0.7</v>
      </c>
      <c r="G36">
        <v>5</v>
      </c>
      <c r="H36">
        <v>6</v>
      </c>
      <c r="I36">
        <f t="shared" ca="1" si="0"/>
        <v>2</v>
      </c>
    </row>
    <row r="37" spans="1:9">
      <c r="A37" t="s">
        <v>92</v>
      </c>
      <c r="B37" t="s">
        <v>259</v>
      </c>
      <c r="C37" t="s">
        <v>93</v>
      </c>
      <c r="D37" t="s">
        <v>57</v>
      </c>
      <c r="E37">
        <v>4.7</v>
      </c>
      <c r="F37">
        <v>3.7</v>
      </c>
      <c r="G37">
        <v>6</v>
      </c>
      <c r="H37">
        <v>7</v>
      </c>
      <c r="I37">
        <f t="shared" ca="1" si="0"/>
        <v>3</v>
      </c>
    </row>
    <row r="38" spans="1:9">
      <c r="A38" t="s">
        <v>94</v>
      </c>
      <c r="B38" t="s">
        <v>260</v>
      </c>
      <c r="C38" t="s">
        <v>95</v>
      </c>
      <c r="D38" t="s">
        <v>14</v>
      </c>
      <c r="E38">
        <v>3.2</v>
      </c>
      <c r="F38">
        <v>1.8</v>
      </c>
      <c r="G38">
        <v>6</v>
      </c>
      <c r="H38">
        <v>9</v>
      </c>
      <c r="I38">
        <f t="shared" ca="1" si="0"/>
        <v>5</v>
      </c>
    </row>
    <row r="39" spans="1:9">
      <c r="A39" t="s">
        <v>96</v>
      </c>
      <c r="B39" t="s">
        <v>311</v>
      </c>
      <c r="C39" t="s">
        <v>97</v>
      </c>
      <c r="D39" t="s">
        <v>22</v>
      </c>
      <c r="E39">
        <v>3.9</v>
      </c>
      <c r="F39">
        <v>4.5999999999999996</v>
      </c>
      <c r="G39">
        <v>9</v>
      </c>
      <c r="H39">
        <v>9</v>
      </c>
      <c r="I39">
        <f t="shared" ca="1" si="0"/>
        <v>5</v>
      </c>
    </row>
    <row r="40" spans="1:9">
      <c r="A40" t="s">
        <v>98</v>
      </c>
      <c r="B40" t="s">
        <v>301</v>
      </c>
      <c r="C40" t="s">
        <v>99</v>
      </c>
      <c r="D40" t="s">
        <v>17</v>
      </c>
      <c r="E40">
        <v>4.5</v>
      </c>
      <c r="F40">
        <v>4.5</v>
      </c>
      <c r="G40">
        <v>5</v>
      </c>
      <c r="H40">
        <v>6</v>
      </c>
      <c r="I40">
        <f t="shared" ca="1" si="0"/>
        <v>4</v>
      </c>
    </row>
    <row r="41" spans="1:9">
      <c r="A41" t="s">
        <v>100</v>
      </c>
      <c r="B41" t="s">
        <v>311</v>
      </c>
      <c r="C41" t="s">
        <v>101</v>
      </c>
      <c r="D41" t="s">
        <v>22</v>
      </c>
      <c r="E41">
        <v>3.8</v>
      </c>
      <c r="F41">
        <v>1.4</v>
      </c>
      <c r="G41">
        <v>8</v>
      </c>
      <c r="H41">
        <v>9</v>
      </c>
      <c r="I41">
        <f t="shared" ca="1" si="0"/>
        <v>2</v>
      </c>
    </row>
    <row r="42" spans="1:9">
      <c r="A42" t="s">
        <v>102</v>
      </c>
      <c r="B42" t="s">
        <v>232</v>
      </c>
      <c r="C42" t="s">
        <v>103</v>
      </c>
      <c r="D42" t="s">
        <v>36</v>
      </c>
      <c r="E42">
        <v>3.4</v>
      </c>
      <c r="F42">
        <v>4.8</v>
      </c>
      <c r="G42">
        <v>7</v>
      </c>
      <c r="H42">
        <v>8</v>
      </c>
      <c r="I42">
        <f t="shared" ca="1" si="0"/>
        <v>1</v>
      </c>
    </row>
    <row r="43" spans="1:9">
      <c r="A43" t="s">
        <v>104</v>
      </c>
      <c r="B43" t="s">
        <v>310</v>
      </c>
      <c r="C43" t="s">
        <v>105</v>
      </c>
      <c r="D43" t="s">
        <v>36</v>
      </c>
      <c r="E43">
        <v>4.3</v>
      </c>
      <c r="F43">
        <v>4.2</v>
      </c>
      <c r="G43">
        <v>7</v>
      </c>
      <c r="H43">
        <v>5</v>
      </c>
      <c r="I43">
        <f t="shared" ca="1" si="0"/>
        <v>2</v>
      </c>
    </row>
    <row r="44" spans="1:9">
      <c r="A44" t="s">
        <v>106</v>
      </c>
      <c r="B44" t="s">
        <v>309</v>
      </c>
      <c r="C44" t="s">
        <v>107</v>
      </c>
      <c r="D44" t="s">
        <v>27</v>
      </c>
      <c r="E44">
        <v>3.7</v>
      </c>
      <c r="F44">
        <v>4.0999999999999996</v>
      </c>
      <c r="G44">
        <v>8</v>
      </c>
      <c r="H44">
        <v>5</v>
      </c>
      <c r="I44">
        <f t="shared" ca="1" si="0"/>
        <v>5</v>
      </c>
    </row>
    <row r="45" spans="1:9">
      <c r="A45" t="s">
        <v>108</v>
      </c>
      <c r="B45" t="s">
        <v>308</v>
      </c>
      <c r="C45" t="s">
        <v>109</v>
      </c>
      <c r="D45" t="s">
        <v>42</v>
      </c>
      <c r="E45">
        <v>5.2</v>
      </c>
      <c r="F45">
        <v>0.8</v>
      </c>
      <c r="G45">
        <v>7</v>
      </c>
      <c r="H45">
        <v>9</v>
      </c>
      <c r="I45">
        <f t="shared" ca="1" si="0"/>
        <v>4</v>
      </c>
    </row>
    <row r="46" spans="1:9">
      <c r="A46" t="s">
        <v>110</v>
      </c>
      <c r="B46" t="s">
        <v>307</v>
      </c>
      <c r="C46" t="s">
        <v>111</v>
      </c>
      <c r="D46" t="s">
        <v>36</v>
      </c>
      <c r="E46">
        <v>4</v>
      </c>
      <c r="F46">
        <v>4.9000000000000004</v>
      </c>
      <c r="G46">
        <v>6</v>
      </c>
      <c r="H46">
        <v>8</v>
      </c>
      <c r="I46">
        <f t="shared" ca="1" si="0"/>
        <v>3</v>
      </c>
    </row>
    <row r="47" spans="1:9">
      <c r="A47" t="s">
        <v>112</v>
      </c>
      <c r="B47" t="s">
        <v>306</v>
      </c>
      <c r="C47" t="s">
        <v>113</v>
      </c>
      <c r="D47" t="s">
        <v>27</v>
      </c>
      <c r="E47">
        <v>2.9</v>
      </c>
      <c r="F47">
        <v>4.9000000000000004</v>
      </c>
      <c r="G47">
        <v>7</v>
      </c>
      <c r="H47">
        <v>6</v>
      </c>
      <c r="I47">
        <f t="shared" ca="1" si="0"/>
        <v>3</v>
      </c>
    </row>
    <row r="48" spans="1:9">
      <c r="A48" t="s">
        <v>114</v>
      </c>
      <c r="B48" t="s">
        <v>305</v>
      </c>
      <c r="C48" t="s">
        <v>115</v>
      </c>
      <c r="D48" t="s">
        <v>57</v>
      </c>
      <c r="E48">
        <v>3.6</v>
      </c>
      <c r="F48">
        <v>3.3</v>
      </c>
      <c r="G48">
        <v>5</v>
      </c>
      <c r="H48">
        <v>6</v>
      </c>
      <c r="I48">
        <f t="shared" ca="1" si="0"/>
        <v>5</v>
      </c>
    </row>
    <row r="49" spans="1:9">
      <c r="A49" t="s">
        <v>116</v>
      </c>
      <c r="B49" t="s">
        <v>304</v>
      </c>
      <c r="C49" t="s">
        <v>117</v>
      </c>
      <c r="D49" t="s">
        <v>42</v>
      </c>
      <c r="E49">
        <v>5.0999999999999996</v>
      </c>
      <c r="F49">
        <v>1.3</v>
      </c>
      <c r="G49">
        <v>5</v>
      </c>
      <c r="H49">
        <v>5</v>
      </c>
      <c r="I49">
        <f t="shared" ca="1" si="0"/>
        <v>2</v>
      </c>
    </row>
    <row r="50" spans="1:9">
      <c r="A50" t="s">
        <v>118</v>
      </c>
      <c r="B50" t="s">
        <v>303</v>
      </c>
      <c r="C50" t="s">
        <v>119</v>
      </c>
      <c r="D50" t="s">
        <v>42</v>
      </c>
      <c r="E50">
        <v>4.5</v>
      </c>
      <c r="F50">
        <v>4.2</v>
      </c>
      <c r="G50">
        <v>8</v>
      </c>
      <c r="H50">
        <v>9</v>
      </c>
      <c r="I50">
        <f t="shared" ca="1" si="0"/>
        <v>4</v>
      </c>
    </row>
    <row r="51" spans="1:9">
      <c r="A51" t="s">
        <v>120</v>
      </c>
      <c r="B51" t="s">
        <v>302</v>
      </c>
      <c r="C51" t="s">
        <v>121</v>
      </c>
      <c r="D51" t="s">
        <v>17</v>
      </c>
      <c r="E51">
        <v>4</v>
      </c>
      <c r="F51">
        <v>5</v>
      </c>
      <c r="G51">
        <v>6</v>
      </c>
      <c r="H51">
        <v>7</v>
      </c>
      <c r="I51">
        <f t="shared" ca="1" si="0"/>
        <v>3</v>
      </c>
    </row>
    <row r="52" spans="1:9">
      <c r="A52" t="s">
        <v>122</v>
      </c>
      <c r="B52" t="s">
        <v>301</v>
      </c>
      <c r="C52" t="s">
        <v>123</v>
      </c>
      <c r="D52" t="s">
        <v>17</v>
      </c>
      <c r="E52">
        <v>4.0999999999999996</v>
      </c>
      <c r="F52">
        <v>2.4</v>
      </c>
      <c r="G52">
        <v>6</v>
      </c>
      <c r="H52">
        <v>9</v>
      </c>
      <c r="I52">
        <f t="shared" ca="1" si="0"/>
        <v>3</v>
      </c>
    </row>
    <row r="53" spans="1:9">
      <c r="A53" t="s">
        <v>124</v>
      </c>
      <c r="B53" t="s">
        <v>300</v>
      </c>
      <c r="C53" t="s">
        <v>125</v>
      </c>
      <c r="D53" t="s">
        <v>57</v>
      </c>
      <c r="E53">
        <v>4.7</v>
      </c>
      <c r="F53">
        <v>2.1</v>
      </c>
      <c r="G53">
        <v>9</v>
      </c>
      <c r="H53">
        <v>6</v>
      </c>
      <c r="I53">
        <f t="shared" ca="1" si="0"/>
        <v>2</v>
      </c>
    </row>
    <row r="54" spans="1:9">
      <c r="A54" t="s">
        <v>126</v>
      </c>
      <c r="B54" t="s">
        <v>299</v>
      </c>
      <c r="C54" t="s">
        <v>127</v>
      </c>
      <c r="D54" t="s">
        <v>27</v>
      </c>
      <c r="E54">
        <v>4.7</v>
      </c>
      <c r="F54">
        <v>1.4</v>
      </c>
      <c r="G54">
        <v>6</v>
      </c>
      <c r="H54">
        <v>6</v>
      </c>
      <c r="I54">
        <f t="shared" ca="1" si="0"/>
        <v>4</v>
      </c>
    </row>
    <row r="55" spans="1:9">
      <c r="A55" t="s">
        <v>128</v>
      </c>
      <c r="B55" t="s">
        <v>298</v>
      </c>
      <c r="C55" t="s">
        <v>129</v>
      </c>
      <c r="D55" t="s">
        <v>14</v>
      </c>
      <c r="E55">
        <v>2.6</v>
      </c>
      <c r="F55">
        <v>0.9</v>
      </c>
      <c r="G55">
        <v>9</v>
      </c>
      <c r="H55">
        <v>6</v>
      </c>
      <c r="I55">
        <f t="shared" ca="1" si="0"/>
        <v>2</v>
      </c>
    </row>
    <row r="56" spans="1:9">
      <c r="A56" t="s">
        <v>130</v>
      </c>
      <c r="B56" t="s">
        <v>297</v>
      </c>
      <c r="C56" t="s">
        <v>131</v>
      </c>
      <c r="D56" t="s">
        <v>36</v>
      </c>
      <c r="E56">
        <v>4.9000000000000004</v>
      </c>
      <c r="F56">
        <v>3.8</v>
      </c>
      <c r="G56">
        <v>8</v>
      </c>
      <c r="H56">
        <v>8</v>
      </c>
      <c r="I56">
        <f t="shared" ca="1" si="0"/>
        <v>4</v>
      </c>
    </row>
    <row r="57" spans="1:9">
      <c r="A57" t="s">
        <v>132</v>
      </c>
      <c r="B57" t="s">
        <v>296</v>
      </c>
      <c r="C57" t="s">
        <v>133</v>
      </c>
      <c r="D57" t="s">
        <v>39</v>
      </c>
      <c r="E57">
        <v>5.0999999999999996</v>
      </c>
      <c r="F57">
        <v>3.5</v>
      </c>
      <c r="G57">
        <v>8</v>
      </c>
      <c r="H57">
        <v>5</v>
      </c>
      <c r="I57">
        <f t="shared" ca="1" si="0"/>
        <v>5</v>
      </c>
    </row>
    <row r="58" spans="1:9">
      <c r="A58" t="s">
        <v>134</v>
      </c>
      <c r="B58" t="s">
        <v>295</v>
      </c>
      <c r="C58" t="s">
        <v>135</v>
      </c>
      <c r="D58" t="s">
        <v>39</v>
      </c>
      <c r="E58">
        <v>4.0999999999999996</v>
      </c>
      <c r="F58">
        <v>4.4000000000000004</v>
      </c>
      <c r="G58">
        <v>5</v>
      </c>
      <c r="H58">
        <v>6</v>
      </c>
      <c r="I58">
        <f t="shared" ca="1" si="0"/>
        <v>1</v>
      </c>
    </row>
    <row r="59" spans="1:9">
      <c r="A59" t="s">
        <v>136</v>
      </c>
      <c r="B59" t="s">
        <v>294</v>
      </c>
      <c r="C59" t="s">
        <v>137</v>
      </c>
      <c r="D59" t="s">
        <v>17</v>
      </c>
      <c r="E59">
        <v>3.9</v>
      </c>
      <c r="F59">
        <v>3.4</v>
      </c>
      <c r="G59">
        <v>7</v>
      </c>
      <c r="H59">
        <v>5</v>
      </c>
      <c r="I59">
        <f t="shared" ca="1" si="0"/>
        <v>5</v>
      </c>
    </row>
    <row r="60" spans="1:9">
      <c r="A60" t="s">
        <v>138</v>
      </c>
      <c r="B60" t="s">
        <v>293</v>
      </c>
      <c r="C60" t="s">
        <v>139</v>
      </c>
      <c r="D60" t="s">
        <v>36</v>
      </c>
      <c r="E60">
        <v>5</v>
      </c>
      <c r="F60">
        <v>4.3</v>
      </c>
      <c r="G60">
        <v>6</v>
      </c>
      <c r="H60">
        <v>9</v>
      </c>
      <c r="I60">
        <f t="shared" ca="1" si="0"/>
        <v>5</v>
      </c>
    </row>
    <row r="61" spans="1:9">
      <c r="A61" t="s">
        <v>140</v>
      </c>
      <c r="B61" t="s">
        <v>292</v>
      </c>
      <c r="C61" t="s">
        <v>141</v>
      </c>
      <c r="D61" t="s">
        <v>36</v>
      </c>
      <c r="E61">
        <v>2.6</v>
      </c>
      <c r="F61">
        <v>0.7</v>
      </c>
      <c r="G61">
        <v>5</v>
      </c>
      <c r="H61">
        <v>6</v>
      </c>
      <c r="I61">
        <f t="shared" ca="1" si="0"/>
        <v>3</v>
      </c>
    </row>
    <row r="62" spans="1:9">
      <c r="A62" t="s">
        <v>142</v>
      </c>
      <c r="B62" t="s">
        <v>291</v>
      </c>
      <c r="C62" t="s">
        <v>143</v>
      </c>
      <c r="D62" t="s">
        <v>22</v>
      </c>
      <c r="E62">
        <v>4.5999999999999996</v>
      </c>
      <c r="F62">
        <v>3.8</v>
      </c>
      <c r="G62">
        <v>7</v>
      </c>
      <c r="H62">
        <v>9</v>
      </c>
      <c r="I62">
        <f t="shared" ca="1" si="0"/>
        <v>3</v>
      </c>
    </row>
    <row r="63" spans="1:9">
      <c r="A63" t="s">
        <v>144</v>
      </c>
      <c r="B63" t="s">
        <v>290</v>
      </c>
      <c r="C63" t="s">
        <v>145</v>
      </c>
      <c r="D63" t="s">
        <v>57</v>
      </c>
      <c r="E63">
        <v>4.9000000000000004</v>
      </c>
      <c r="F63">
        <v>1.9</v>
      </c>
      <c r="G63">
        <v>8</v>
      </c>
      <c r="H63">
        <v>5</v>
      </c>
      <c r="I63">
        <f t="shared" ca="1" si="0"/>
        <v>2</v>
      </c>
    </row>
    <row r="64" spans="1:9">
      <c r="A64" t="s">
        <v>146</v>
      </c>
      <c r="B64" t="s">
        <v>289</v>
      </c>
      <c r="C64" t="s">
        <v>147</v>
      </c>
      <c r="D64" t="s">
        <v>22</v>
      </c>
      <c r="E64">
        <v>4.0999999999999996</v>
      </c>
      <c r="F64">
        <v>3.2</v>
      </c>
      <c r="G64">
        <v>9</v>
      </c>
      <c r="H64">
        <v>9</v>
      </c>
      <c r="I64">
        <f t="shared" ca="1" si="0"/>
        <v>4</v>
      </c>
    </row>
    <row r="65" spans="1:9">
      <c r="A65" t="s">
        <v>148</v>
      </c>
      <c r="B65" t="s">
        <v>288</v>
      </c>
      <c r="C65" t="s">
        <v>149</v>
      </c>
      <c r="D65" t="s">
        <v>39</v>
      </c>
      <c r="E65">
        <v>3.9</v>
      </c>
      <c r="F65">
        <v>4.5</v>
      </c>
      <c r="G65">
        <v>5</v>
      </c>
      <c r="H65">
        <v>9</v>
      </c>
      <c r="I65">
        <f t="shared" ca="1" si="0"/>
        <v>1</v>
      </c>
    </row>
    <row r="66" spans="1:9">
      <c r="A66" t="s">
        <v>150</v>
      </c>
      <c r="B66" t="s">
        <v>287</v>
      </c>
      <c r="C66" t="s">
        <v>151</v>
      </c>
      <c r="D66" t="s">
        <v>50</v>
      </c>
      <c r="E66">
        <v>2.7</v>
      </c>
      <c r="F66">
        <v>4.0999999999999996</v>
      </c>
      <c r="G66">
        <v>8</v>
      </c>
      <c r="H66">
        <v>6</v>
      </c>
      <c r="I66">
        <f t="shared" ca="1" si="0"/>
        <v>1</v>
      </c>
    </row>
    <row r="67" spans="1:9">
      <c r="A67" t="s">
        <v>152</v>
      </c>
      <c r="B67" t="s">
        <v>286</v>
      </c>
      <c r="C67" t="s">
        <v>153</v>
      </c>
      <c r="D67" t="s">
        <v>57</v>
      </c>
      <c r="E67">
        <v>4.3</v>
      </c>
      <c r="F67">
        <v>4.5</v>
      </c>
      <c r="G67">
        <v>9</v>
      </c>
      <c r="H67">
        <v>8</v>
      </c>
      <c r="I67">
        <f t="shared" ref="I67:I101" ca="1" si="1">RANDBETWEEN(1, 5)</f>
        <v>3</v>
      </c>
    </row>
    <row r="68" spans="1:9">
      <c r="A68" t="s">
        <v>154</v>
      </c>
      <c r="B68" t="s">
        <v>285</v>
      </c>
      <c r="C68" t="s">
        <v>155</v>
      </c>
      <c r="D68" t="s">
        <v>39</v>
      </c>
      <c r="E68">
        <v>4.4000000000000004</v>
      </c>
      <c r="F68">
        <v>4.9000000000000004</v>
      </c>
      <c r="G68">
        <v>9</v>
      </c>
      <c r="H68">
        <v>5</v>
      </c>
      <c r="I68">
        <f t="shared" ca="1" si="1"/>
        <v>3</v>
      </c>
    </row>
    <row r="69" spans="1:9">
      <c r="A69" t="s">
        <v>156</v>
      </c>
      <c r="B69" t="s">
        <v>284</v>
      </c>
      <c r="C69" t="s">
        <v>157</v>
      </c>
      <c r="D69" t="s">
        <v>36</v>
      </c>
      <c r="E69">
        <v>4.5999999999999996</v>
      </c>
      <c r="F69">
        <v>3.9</v>
      </c>
      <c r="G69">
        <v>9</v>
      </c>
      <c r="H69">
        <v>7</v>
      </c>
      <c r="I69">
        <f t="shared" ca="1" si="1"/>
        <v>4</v>
      </c>
    </row>
    <row r="70" spans="1:9">
      <c r="A70" t="s">
        <v>158</v>
      </c>
      <c r="B70" t="s">
        <v>283</v>
      </c>
      <c r="C70" t="s">
        <v>159</v>
      </c>
      <c r="D70" t="s">
        <v>42</v>
      </c>
      <c r="E70">
        <v>3.6</v>
      </c>
      <c r="F70">
        <v>0.5</v>
      </c>
      <c r="G70">
        <v>5</v>
      </c>
      <c r="H70">
        <v>9</v>
      </c>
      <c r="I70">
        <f t="shared" ca="1" si="1"/>
        <v>1</v>
      </c>
    </row>
    <row r="71" spans="1:9">
      <c r="A71" t="s">
        <v>160</v>
      </c>
      <c r="B71" t="s">
        <v>282</v>
      </c>
      <c r="C71" t="s">
        <v>161</v>
      </c>
      <c r="D71" t="s">
        <v>22</v>
      </c>
      <c r="E71">
        <v>2.7</v>
      </c>
      <c r="F71">
        <v>1.8</v>
      </c>
      <c r="G71">
        <v>7</v>
      </c>
      <c r="H71">
        <v>5</v>
      </c>
      <c r="I71">
        <f t="shared" ca="1" si="1"/>
        <v>3</v>
      </c>
    </row>
    <row r="72" spans="1:9">
      <c r="A72" t="s">
        <v>162</v>
      </c>
      <c r="B72" t="s">
        <v>281</v>
      </c>
      <c r="C72" t="s">
        <v>163</v>
      </c>
      <c r="D72" t="s">
        <v>36</v>
      </c>
      <c r="E72">
        <v>4.5999999999999996</v>
      </c>
      <c r="F72">
        <v>1</v>
      </c>
      <c r="G72">
        <v>9</v>
      </c>
      <c r="H72">
        <v>5</v>
      </c>
      <c r="I72">
        <f t="shared" ca="1" si="1"/>
        <v>4</v>
      </c>
    </row>
    <row r="73" spans="1:9">
      <c r="A73" t="s">
        <v>164</v>
      </c>
      <c r="B73" t="s">
        <v>280</v>
      </c>
      <c r="C73" t="s">
        <v>165</v>
      </c>
      <c r="D73" t="s">
        <v>36</v>
      </c>
      <c r="E73">
        <v>3.8</v>
      </c>
      <c r="F73">
        <v>3</v>
      </c>
      <c r="G73">
        <v>9</v>
      </c>
      <c r="H73">
        <v>9</v>
      </c>
      <c r="I73">
        <f t="shared" ca="1" si="1"/>
        <v>5</v>
      </c>
    </row>
    <row r="74" spans="1:9">
      <c r="A74" t="s">
        <v>166</v>
      </c>
      <c r="B74" t="s">
        <v>279</v>
      </c>
      <c r="C74" t="s">
        <v>167</v>
      </c>
      <c r="D74" t="s">
        <v>42</v>
      </c>
      <c r="E74">
        <v>3.6</v>
      </c>
      <c r="F74">
        <v>2</v>
      </c>
      <c r="G74">
        <v>8</v>
      </c>
      <c r="H74">
        <v>5</v>
      </c>
      <c r="I74">
        <f t="shared" ca="1" si="1"/>
        <v>3</v>
      </c>
    </row>
    <row r="75" spans="1:9">
      <c r="A75" t="s">
        <v>168</v>
      </c>
      <c r="B75" t="s">
        <v>278</v>
      </c>
      <c r="C75" t="s">
        <v>169</v>
      </c>
      <c r="D75" t="s">
        <v>14</v>
      </c>
      <c r="E75">
        <v>3.8</v>
      </c>
      <c r="F75">
        <v>1.8</v>
      </c>
      <c r="G75">
        <v>5</v>
      </c>
      <c r="H75">
        <v>7</v>
      </c>
      <c r="I75">
        <f t="shared" ca="1" si="1"/>
        <v>5</v>
      </c>
    </row>
    <row r="76" spans="1:9">
      <c r="A76" t="s">
        <v>170</v>
      </c>
      <c r="B76" t="s">
        <v>277</v>
      </c>
      <c r="C76" t="s">
        <v>171</v>
      </c>
      <c r="D76" t="s">
        <v>17</v>
      </c>
      <c r="E76">
        <v>3.2</v>
      </c>
      <c r="F76">
        <v>3.1</v>
      </c>
      <c r="G76">
        <v>9</v>
      </c>
      <c r="H76">
        <v>5</v>
      </c>
      <c r="I76">
        <f t="shared" ca="1" si="1"/>
        <v>3</v>
      </c>
    </row>
    <row r="77" spans="1:9">
      <c r="A77" t="s">
        <v>172</v>
      </c>
      <c r="B77" t="s">
        <v>276</v>
      </c>
      <c r="C77" t="s">
        <v>173</v>
      </c>
      <c r="D77" t="s">
        <v>27</v>
      </c>
      <c r="E77">
        <v>2.8</v>
      </c>
      <c r="F77">
        <v>1</v>
      </c>
      <c r="G77">
        <v>8</v>
      </c>
      <c r="H77">
        <v>9</v>
      </c>
      <c r="I77">
        <f t="shared" ca="1" si="1"/>
        <v>4</v>
      </c>
    </row>
    <row r="78" spans="1:9">
      <c r="A78" t="s">
        <v>174</v>
      </c>
      <c r="B78" t="s">
        <v>275</v>
      </c>
      <c r="C78" t="s">
        <v>175</v>
      </c>
      <c r="D78" t="s">
        <v>36</v>
      </c>
      <c r="E78">
        <v>4.5</v>
      </c>
      <c r="F78">
        <v>3.3</v>
      </c>
      <c r="G78">
        <v>7</v>
      </c>
      <c r="H78">
        <v>6</v>
      </c>
      <c r="I78">
        <f t="shared" ca="1" si="1"/>
        <v>5</v>
      </c>
    </row>
    <row r="79" spans="1:9">
      <c r="A79" t="s">
        <v>176</v>
      </c>
      <c r="B79" t="s">
        <v>274</v>
      </c>
      <c r="C79" t="s">
        <v>177</v>
      </c>
      <c r="D79" t="s">
        <v>50</v>
      </c>
      <c r="E79">
        <v>5.0999999999999996</v>
      </c>
      <c r="F79">
        <v>3</v>
      </c>
      <c r="G79">
        <v>5</v>
      </c>
      <c r="H79">
        <v>7</v>
      </c>
      <c r="I79">
        <f t="shared" ca="1" si="1"/>
        <v>4</v>
      </c>
    </row>
    <row r="80" spans="1:9">
      <c r="A80" t="s">
        <v>178</v>
      </c>
      <c r="B80" t="s">
        <v>273</v>
      </c>
      <c r="C80" t="s">
        <v>179</v>
      </c>
      <c r="D80" t="s">
        <v>42</v>
      </c>
      <c r="E80">
        <v>2.7</v>
      </c>
      <c r="F80">
        <v>3.4</v>
      </c>
      <c r="G80">
        <v>8</v>
      </c>
      <c r="H80">
        <v>5</v>
      </c>
      <c r="I80">
        <f t="shared" ca="1" si="1"/>
        <v>4</v>
      </c>
    </row>
    <row r="81" spans="1:9">
      <c r="A81" t="s">
        <v>180</v>
      </c>
      <c r="B81" t="s">
        <v>272</v>
      </c>
      <c r="C81" t="s">
        <v>181</v>
      </c>
      <c r="D81" t="s">
        <v>36</v>
      </c>
      <c r="E81">
        <v>4.5</v>
      </c>
      <c r="F81">
        <v>1.5</v>
      </c>
      <c r="G81">
        <v>8</v>
      </c>
      <c r="H81">
        <v>6</v>
      </c>
      <c r="I81">
        <f t="shared" ca="1" si="1"/>
        <v>2</v>
      </c>
    </row>
    <row r="82" spans="1:9">
      <c r="A82" t="s">
        <v>182</v>
      </c>
      <c r="B82" t="s">
        <v>271</v>
      </c>
      <c r="C82" t="s">
        <v>183</v>
      </c>
      <c r="D82" t="s">
        <v>17</v>
      </c>
      <c r="E82">
        <v>5</v>
      </c>
      <c r="F82">
        <v>2.2999999999999998</v>
      </c>
      <c r="G82">
        <v>5</v>
      </c>
      <c r="H82">
        <v>9</v>
      </c>
      <c r="I82">
        <f t="shared" ca="1" si="1"/>
        <v>4</v>
      </c>
    </row>
    <row r="83" spans="1:9">
      <c r="A83" t="s">
        <v>184</v>
      </c>
      <c r="B83" t="s">
        <v>270</v>
      </c>
      <c r="C83" t="s">
        <v>185</v>
      </c>
      <c r="D83" t="s">
        <v>42</v>
      </c>
      <c r="E83">
        <v>5.4</v>
      </c>
      <c r="F83">
        <v>2.6</v>
      </c>
      <c r="G83">
        <v>5</v>
      </c>
      <c r="H83">
        <v>9</v>
      </c>
      <c r="I83">
        <f t="shared" ca="1" si="1"/>
        <v>3</v>
      </c>
    </row>
    <row r="84" spans="1:9">
      <c r="A84" t="s">
        <v>186</v>
      </c>
      <c r="B84" t="s">
        <v>269</v>
      </c>
      <c r="C84" t="s">
        <v>187</v>
      </c>
      <c r="D84" t="s">
        <v>42</v>
      </c>
      <c r="E84">
        <v>4.3</v>
      </c>
      <c r="F84">
        <v>4.7</v>
      </c>
      <c r="G84">
        <v>6</v>
      </c>
      <c r="H84">
        <v>8</v>
      </c>
      <c r="I84">
        <f t="shared" ca="1" si="1"/>
        <v>2</v>
      </c>
    </row>
    <row r="85" spans="1:9">
      <c r="A85" t="s">
        <v>188</v>
      </c>
      <c r="B85" t="s">
        <v>268</v>
      </c>
      <c r="C85" t="s">
        <v>189</v>
      </c>
      <c r="D85" t="s">
        <v>27</v>
      </c>
      <c r="E85">
        <v>5.3</v>
      </c>
      <c r="F85">
        <v>0.7</v>
      </c>
      <c r="G85">
        <v>5</v>
      </c>
      <c r="H85">
        <v>5</v>
      </c>
      <c r="I85">
        <f t="shared" ca="1" si="1"/>
        <v>2</v>
      </c>
    </row>
    <row r="86" spans="1:9">
      <c r="A86" t="s">
        <v>190</v>
      </c>
      <c r="B86" t="s">
        <v>267</v>
      </c>
      <c r="C86" t="s">
        <v>191</v>
      </c>
      <c r="D86" t="s">
        <v>17</v>
      </c>
      <c r="E86">
        <v>3.6</v>
      </c>
      <c r="F86">
        <v>3.6</v>
      </c>
      <c r="G86">
        <v>8</v>
      </c>
      <c r="H86">
        <v>6</v>
      </c>
      <c r="I86">
        <f t="shared" ca="1" si="1"/>
        <v>1</v>
      </c>
    </row>
    <row r="87" spans="1:9">
      <c r="A87" t="s">
        <v>192</v>
      </c>
      <c r="B87" t="s">
        <v>266</v>
      </c>
      <c r="C87" t="s">
        <v>193</v>
      </c>
      <c r="D87" t="s">
        <v>50</v>
      </c>
      <c r="E87">
        <v>4.9000000000000004</v>
      </c>
      <c r="F87">
        <v>4.9000000000000004</v>
      </c>
      <c r="G87">
        <v>8</v>
      </c>
      <c r="H87">
        <v>7</v>
      </c>
      <c r="I87">
        <f t="shared" ca="1" si="1"/>
        <v>2</v>
      </c>
    </row>
    <row r="88" spans="1:9">
      <c r="A88" t="s">
        <v>194</v>
      </c>
      <c r="B88" t="s">
        <v>265</v>
      </c>
      <c r="C88" t="s">
        <v>195</v>
      </c>
      <c r="D88" t="s">
        <v>39</v>
      </c>
      <c r="E88">
        <v>4.4000000000000004</v>
      </c>
      <c r="F88">
        <v>1.9</v>
      </c>
      <c r="G88">
        <v>7</v>
      </c>
      <c r="H88">
        <v>5</v>
      </c>
      <c r="I88">
        <f t="shared" ca="1" si="1"/>
        <v>5</v>
      </c>
    </row>
    <row r="89" spans="1:9">
      <c r="A89" t="s">
        <v>196</v>
      </c>
      <c r="B89" t="s">
        <v>264</v>
      </c>
      <c r="C89" t="s">
        <v>197</v>
      </c>
      <c r="D89" t="s">
        <v>27</v>
      </c>
      <c r="E89">
        <v>3.9</v>
      </c>
      <c r="F89">
        <v>2.5</v>
      </c>
      <c r="G89">
        <v>5</v>
      </c>
      <c r="H89">
        <v>7</v>
      </c>
      <c r="I89">
        <f t="shared" ca="1" si="1"/>
        <v>5</v>
      </c>
    </row>
    <row r="90" spans="1:9">
      <c r="A90" t="s">
        <v>198</v>
      </c>
      <c r="B90" t="s">
        <v>263</v>
      </c>
      <c r="C90" t="s">
        <v>199</v>
      </c>
      <c r="D90" t="s">
        <v>39</v>
      </c>
      <c r="E90">
        <v>3.3</v>
      </c>
      <c r="F90">
        <v>4.5</v>
      </c>
      <c r="G90">
        <v>9</v>
      </c>
      <c r="H90">
        <v>9</v>
      </c>
      <c r="I90">
        <f t="shared" ca="1" si="1"/>
        <v>5</v>
      </c>
    </row>
    <row r="91" spans="1:9">
      <c r="A91" t="s">
        <v>200</v>
      </c>
      <c r="B91" t="s">
        <v>262</v>
      </c>
      <c r="C91" t="s">
        <v>201</v>
      </c>
      <c r="D91" t="s">
        <v>50</v>
      </c>
      <c r="E91">
        <v>5.2</v>
      </c>
      <c r="F91">
        <v>2</v>
      </c>
      <c r="G91">
        <v>7</v>
      </c>
      <c r="H91">
        <v>6</v>
      </c>
      <c r="I91">
        <f t="shared" ca="1" si="1"/>
        <v>3</v>
      </c>
    </row>
    <row r="92" spans="1:9">
      <c r="A92" t="s">
        <v>202</v>
      </c>
      <c r="B92" s="1" t="s">
        <v>261</v>
      </c>
      <c r="C92" t="s">
        <v>203</v>
      </c>
      <c r="D92" t="s">
        <v>42</v>
      </c>
      <c r="E92">
        <v>3.3</v>
      </c>
      <c r="F92">
        <v>0.7</v>
      </c>
      <c r="G92">
        <v>9</v>
      </c>
      <c r="H92">
        <v>9</v>
      </c>
      <c r="I92">
        <f t="shared" ca="1" si="1"/>
        <v>2</v>
      </c>
    </row>
    <row r="93" spans="1:9">
      <c r="A93" t="s">
        <v>204</v>
      </c>
      <c r="B93" s="1" t="s">
        <v>312</v>
      </c>
      <c r="C93" t="s">
        <v>205</v>
      </c>
      <c r="D93" t="s">
        <v>45</v>
      </c>
      <c r="E93">
        <v>4.3</v>
      </c>
      <c r="F93">
        <v>0.6</v>
      </c>
      <c r="G93">
        <v>5</v>
      </c>
      <c r="H93">
        <v>6</v>
      </c>
      <c r="I93">
        <f t="shared" ca="1" si="1"/>
        <v>5</v>
      </c>
    </row>
    <row r="94" spans="1:9">
      <c r="A94" t="s">
        <v>206</v>
      </c>
      <c r="B94" s="1" t="s">
        <v>313</v>
      </c>
      <c r="C94" t="s">
        <v>207</v>
      </c>
      <c r="D94" t="s">
        <v>17</v>
      </c>
      <c r="E94">
        <v>5.3</v>
      </c>
      <c r="F94">
        <v>1.1000000000000001</v>
      </c>
      <c r="G94">
        <v>5</v>
      </c>
      <c r="H94">
        <v>7</v>
      </c>
      <c r="I94">
        <f t="shared" ca="1" si="1"/>
        <v>1</v>
      </c>
    </row>
    <row r="95" spans="1:9">
      <c r="A95" t="s">
        <v>208</v>
      </c>
      <c r="B95" s="1" t="s">
        <v>314</v>
      </c>
      <c r="C95" t="s">
        <v>209</v>
      </c>
      <c r="D95" t="s">
        <v>14</v>
      </c>
      <c r="E95">
        <v>4.9000000000000004</v>
      </c>
      <c r="F95">
        <v>1</v>
      </c>
      <c r="G95">
        <v>6</v>
      </c>
      <c r="H95">
        <v>6</v>
      </c>
      <c r="I95">
        <f t="shared" ca="1" si="1"/>
        <v>4</v>
      </c>
    </row>
    <row r="96" spans="1:9">
      <c r="A96" t="s">
        <v>210</v>
      </c>
      <c r="B96" s="1" t="s">
        <v>315</v>
      </c>
      <c r="C96" t="s">
        <v>211</v>
      </c>
      <c r="D96" t="s">
        <v>36</v>
      </c>
      <c r="E96">
        <v>2.7</v>
      </c>
      <c r="F96">
        <v>4</v>
      </c>
      <c r="G96">
        <v>8</v>
      </c>
      <c r="H96">
        <v>7</v>
      </c>
      <c r="I96">
        <f t="shared" ca="1" si="1"/>
        <v>4</v>
      </c>
    </row>
    <row r="97" spans="1:9">
      <c r="A97" t="s">
        <v>212</v>
      </c>
      <c r="B97" s="1" t="s">
        <v>316</v>
      </c>
      <c r="C97" t="s">
        <v>213</v>
      </c>
      <c r="D97" t="s">
        <v>36</v>
      </c>
      <c r="E97">
        <v>5.3</v>
      </c>
      <c r="F97">
        <v>3.8</v>
      </c>
      <c r="G97">
        <v>8</v>
      </c>
      <c r="H97">
        <v>7</v>
      </c>
      <c r="I97">
        <f t="shared" ca="1" si="1"/>
        <v>1</v>
      </c>
    </row>
    <row r="98" spans="1:9">
      <c r="A98" t="s">
        <v>214</v>
      </c>
      <c r="B98" s="1" t="s">
        <v>317</v>
      </c>
      <c r="C98" t="s">
        <v>215</v>
      </c>
      <c r="D98" t="s">
        <v>50</v>
      </c>
      <c r="E98">
        <v>2.8</v>
      </c>
      <c r="F98">
        <v>3.1</v>
      </c>
      <c r="G98">
        <v>7</v>
      </c>
      <c r="H98">
        <v>6</v>
      </c>
      <c r="I98">
        <f t="shared" ca="1" si="1"/>
        <v>3</v>
      </c>
    </row>
    <row r="99" spans="1:9">
      <c r="A99" t="s">
        <v>216</v>
      </c>
      <c r="B99" s="1" t="s">
        <v>318</v>
      </c>
      <c r="C99" t="s">
        <v>217</v>
      </c>
      <c r="D99" t="s">
        <v>27</v>
      </c>
      <c r="E99">
        <v>2.8</v>
      </c>
      <c r="F99">
        <v>2.5</v>
      </c>
      <c r="G99">
        <v>8</v>
      </c>
      <c r="H99">
        <v>9</v>
      </c>
      <c r="I99">
        <f t="shared" ca="1" si="1"/>
        <v>5</v>
      </c>
    </row>
    <row r="100" spans="1:9">
      <c r="A100" t="s">
        <v>218</v>
      </c>
      <c r="B100" s="1" t="s">
        <v>319</v>
      </c>
      <c r="C100" t="s">
        <v>219</v>
      </c>
      <c r="D100" t="s">
        <v>50</v>
      </c>
      <c r="E100">
        <v>2.6</v>
      </c>
      <c r="F100">
        <v>3.1</v>
      </c>
      <c r="G100">
        <v>8</v>
      </c>
      <c r="H100">
        <v>8</v>
      </c>
      <c r="I100">
        <f t="shared" ca="1" si="1"/>
        <v>3</v>
      </c>
    </row>
    <row r="101" spans="1:9">
      <c r="A101" t="s">
        <v>220</v>
      </c>
      <c r="B101" s="1" t="s">
        <v>320</v>
      </c>
      <c r="C101" t="s">
        <v>221</v>
      </c>
      <c r="D101" t="s">
        <v>45</v>
      </c>
      <c r="E101">
        <v>3.7</v>
      </c>
      <c r="F101">
        <v>2.7</v>
      </c>
      <c r="G101">
        <v>7</v>
      </c>
      <c r="H101">
        <v>8</v>
      </c>
      <c r="I101">
        <f t="shared" ca="1" si="1"/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/>
  </sheetViews>
  <sheetFormatPr defaultColWidth="9" defaultRowHeight="14.5"/>
  <sheetData>
    <row r="1" spans="1:5">
      <c r="A1" t="s">
        <v>9</v>
      </c>
      <c r="B1" t="s">
        <v>3</v>
      </c>
      <c r="C1" t="s">
        <v>4</v>
      </c>
      <c r="D1" t="s">
        <v>5</v>
      </c>
      <c r="E1" t="s">
        <v>6</v>
      </c>
    </row>
    <row r="2" spans="1:5">
      <c r="A2" t="str">
        <f>DuLieu_ThucTe_TPHCM!A2</f>
        <v>NT001</v>
      </c>
      <c r="B2">
        <f>(MAX(DuLieu_ThucTe_TPHCM!E$2:E$101)-DuLieu_ThucTe_TPHCM!E2)/(MAX(DuLieu_ThucTe_TPHCM!E$2:E$101)-MIN(DuLieu_ThucTe_TPHCM!E$2:E$101))</f>
        <v>0.85714285714285721</v>
      </c>
      <c r="C2">
        <f>(MAX(DuLieu_ThucTe_TPHCM!F$2:F$101)-DuLieu_ThucTe_TPHCM!F2)/(MAX(DuLieu_ThucTe_TPHCM!F$2:F$101)-MIN(DuLieu_ThucTe_TPHCM!F$2:F$101))</f>
        <v>0.71111111111111114</v>
      </c>
      <c r="D2">
        <f>(DuLieu_ThucTe_TPHCM!G2-MIN(DuLieu_ThucTe_TPHCM!G$2:G$101))/(MAX(DuLieu_ThucTe_TPHCM!G$2:G$101)-MIN(DuLieu_ThucTe_TPHCM!G$2:G$101))</f>
        <v>0</v>
      </c>
      <c r="E2">
        <f>(DuLieu_ThucTe_TPHCM!H2-MIN(DuLieu_ThucTe_TPHCM!H$2:H$101))/(MAX(DuLieu_ThucTe_TPHCM!H$2:H$101)-MIN(DuLieu_ThucTe_TPHCM!H$2:H$101))</f>
        <v>1</v>
      </c>
    </row>
    <row r="3" spans="1:5">
      <c r="A3" t="str">
        <f>DuLieu_ThucTe_TPHCM!A3</f>
        <v>NT002</v>
      </c>
      <c r="B3">
        <f>(MAX(DuLieu_ThucTe_TPHCM!E$2:E$101)-DuLieu_ThucTe_TPHCM!E3)/(MAX(DuLieu_ThucTe_TPHCM!E$2:E$101)-MIN(DuLieu_ThucTe_TPHCM!E$2:E$101))</f>
        <v>0.7857142857142857</v>
      </c>
      <c r="C3">
        <f>(MAX(DuLieu_ThucTe_TPHCM!F$2:F$101)-DuLieu_ThucTe_TPHCM!F3)/(MAX(DuLieu_ThucTe_TPHCM!F$2:F$101)-MIN(DuLieu_ThucTe_TPHCM!F$2:F$101))</f>
        <v>0.15555555555555559</v>
      </c>
      <c r="D3">
        <f>(DuLieu_ThucTe_TPHCM!G3-MIN(DuLieu_ThucTe_TPHCM!G$2:G$101))/(MAX(DuLieu_ThucTe_TPHCM!G$2:G$101)-MIN(DuLieu_ThucTe_TPHCM!G$2:G$101))</f>
        <v>1</v>
      </c>
      <c r="E3">
        <f>(DuLieu_ThucTe_TPHCM!H3-MIN(DuLieu_ThucTe_TPHCM!H$2:H$101))/(MAX(DuLieu_ThucTe_TPHCM!H$2:H$101)-MIN(DuLieu_ThucTe_TPHCM!H$2:H$101))</f>
        <v>0</v>
      </c>
    </row>
    <row r="4" spans="1:5">
      <c r="A4" t="str">
        <f>DuLieu_ThucTe_TPHCM!A4</f>
        <v>NT003</v>
      </c>
      <c r="B4">
        <f>(MAX(DuLieu_ThucTe_TPHCM!E$2:E$101)-DuLieu_ThucTe_TPHCM!E4)/(MAX(DuLieu_ThucTe_TPHCM!E$2:E$101)-MIN(DuLieu_ThucTe_TPHCM!E$2:E$101))</f>
        <v>0.14285714285714296</v>
      </c>
      <c r="C4">
        <f>(MAX(DuLieu_ThucTe_TPHCM!F$2:F$101)-DuLieu_ThucTe_TPHCM!F4)/(MAX(DuLieu_ThucTe_TPHCM!F$2:F$101)-MIN(DuLieu_ThucTe_TPHCM!F$2:F$101))</f>
        <v>6.6666666666666624E-2</v>
      </c>
      <c r="D4">
        <f>(DuLieu_ThucTe_TPHCM!G4-MIN(DuLieu_ThucTe_TPHCM!G$2:G$101))/(MAX(DuLieu_ThucTe_TPHCM!G$2:G$101)-MIN(DuLieu_ThucTe_TPHCM!G$2:G$101))</f>
        <v>0.5</v>
      </c>
      <c r="E4">
        <f>(DuLieu_ThucTe_TPHCM!H4-MIN(DuLieu_ThucTe_TPHCM!H$2:H$101))/(MAX(DuLieu_ThucTe_TPHCM!H$2:H$101)-MIN(DuLieu_ThucTe_TPHCM!H$2:H$101))</f>
        <v>0.5</v>
      </c>
    </row>
    <row r="5" spans="1:5">
      <c r="A5" t="str">
        <f>DuLieu_ThucTe_TPHCM!A5</f>
        <v>NT004</v>
      </c>
      <c r="B5">
        <f>(MAX(DuLieu_ThucTe_TPHCM!E$2:E$101)-DuLieu_ThucTe_TPHCM!E5)/(MAX(DuLieu_ThucTe_TPHCM!E$2:E$101)-MIN(DuLieu_ThucTe_TPHCM!E$2:E$101))</f>
        <v>0.8928571428571429</v>
      </c>
      <c r="C5">
        <f>(MAX(DuLieu_ThucTe_TPHCM!F$2:F$101)-DuLieu_ThucTe_TPHCM!F5)/(MAX(DuLieu_ThucTe_TPHCM!F$2:F$101)-MIN(DuLieu_ThucTe_TPHCM!F$2:F$101))</f>
        <v>0.91111111111111098</v>
      </c>
      <c r="D5">
        <f>(DuLieu_ThucTe_TPHCM!G5-MIN(DuLieu_ThucTe_TPHCM!G$2:G$101))/(MAX(DuLieu_ThucTe_TPHCM!G$2:G$101)-MIN(DuLieu_ThucTe_TPHCM!G$2:G$101))</f>
        <v>0.75</v>
      </c>
      <c r="E5">
        <f>(DuLieu_ThucTe_TPHCM!H5-MIN(DuLieu_ThucTe_TPHCM!H$2:H$101))/(MAX(DuLieu_ThucTe_TPHCM!H$2:H$101)-MIN(DuLieu_ThucTe_TPHCM!H$2:H$101))</f>
        <v>0.25</v>
      </c>
    </row>
    <row r="6" spans="1:5">
      <c r="A6" t="str">
        <f>DuLieu_ThucTe_TPHCM!A6</f>
        <v>NT005</v>
      </c>
      <c r="B6">
        <f>(MAX(DuLieu_ThucTe_TPHCM!E$2:E$101)-DuLieu_ThucTe_TPHCM!E6)/(MAX(DuLieu_ThucTe_TPHCM!E$2:E$101)-MIN(DuLieu_ThucTe_TPHCM!E$2:E$101))</f>
        <v>0.50000000000000011</v>
      </c>
      <c r="C6">
        <f>(MAX(DuLieu_ThucTe_TPHCM!F$2:F$101)-DuLieu_ThucTe_TPHCM!F6)/(MAX(DuLieu_ThucTe_TPHCM!F$2:F$101)-MIN(DuLieu_ThucTe_TPHCM!F$2:F$101))</f>
        <v>0.55555555555555558</v>
      </c>
      <c r="D6">
        <f>(DuLieu_ThucTe_TPHCM!G6-MIN(DuLieu_ThucTe_TPHCM!G$2:G$101))/(MAX(DuLieu_ThucTe_TPHCM!G$2:G$101)-MIN(DuLieu_ThucTe_TPHCM!G$2:G$101))</f>
        <v>0.75</v>
      </c>
      <c r="E6">
        <f>(DuLieu_ThucTe_TPHCM!H6-MIN(DuLieu_ThucTe_TPHCM!H$2:H$101))/(MAX(DuLieu_ThucTe_TPHCM!H$2:H$101)-MIN(DuLieu_ThucTe_TPHCM!H$2:H$101))</f>
        <v>0.25</v>
      </c>
    </row>
    <row r="7" spans="1:5">
      <c r="A7" t="str">
        <f>DuLieu_ThucTe_TPHCM!A7</f>
        <v>NT006</v>
      </c>
      <c r="B7">
        <f>(MAX(DuLieu_ThucTe_TPHCM!E$2:E$101)-DuLieu_ThucTe_TPHCM!E7)/(MAX(DuLieu_ThucTe_TPHCM!E$2:E$101)-MIN(DuLieu_ThucTe_TPHCM!E$2:E$101))</f>
        <v>0.50000000000000011</v>
      </c>
      <c r="C7">
        <f>(MAX(DuLieu_ThucTe_TPHCM!F$2:F$101)-DuLieu_ThucTe_TPHCM!F7)/(MAX(DuLieu_ThucTe_TPHCM!F$2:F$101)-MIN(DuLieu_ThucTe_TPHCM!F$2:F$101))</f>
        <v>2.2222222222222143E-2</v>
      </c>
      <c r="D7">
        <f>(DuLieu_ThucTe_TPHCM!G7-MIN(DuLieu_ThucTe_TPHCM!G$2:G$101))/(MAX(DuLieu_ThucTe_TPHCM!G$2:G$101)-MIN(DuLieu_ThucTe_TPHCM!G$2:G$101))</f>
        <v>0.5</v>
      </c>
      <c r="E7">
        <f>(DuLieu_ThucTe_TPHCM!H7-MIN(DuLieu_ThucTe_TPHCM!H$2:H$101))/(MAX(DuLieu_ThucTe_TPHCM!H$2:H$101)-MIN(DuLieu_ThucTe_TPHCM!H$2:H$101))</f>
        <v>0.25</v>
      </c>
    </row>
    <row r="8" spans="1:5">
      <c r="A8" t="str">
        <f>DuLieu_ThucTe_TPHCM!A8</f>
        <v>NT007</v>
      </c>
      <c r="B8">
        <f>(MAX(DuLieu_ThucTe_TPHCM!E$2:E$101)-DuLieu_ThucTe_TPHCM!E8)/(MAX(DuLieu_ThucTe_TPHCM!E$2:E$101)-MIN(DuLieu_ThucTe_TPHCM!E$2:E$101))</f>
        <v>0.6785714285714286</v>
      </c>
      <c r="C8">
        <f>(MAX(DuLieu_ThucTe_TPHCM!F$2:F$101)-DuLieu_ThucTe_TPHCM!F8)/(MAX(DuLieu_ThucTe_TPHCM!F$2:F$101)-MIN(DuLieu_ThucTe_TPHCM!F$2:F$101))</f>
        <v>0.33333333333333331</v>
      </c>
      <c r="D8">
        <f>(DuLieu_ThucTe_TPHCM!G8-MIN(DuLieu_ThucTe_TPHCM!G$2:G$101))/(MAX(DuLieu_ThucTe_TPHCM!G$2:G$101)-MIN(DuLieu_ThucTe_TPHCM!G$2:G$101))</f>
        <v>1</v>
      </c>
      <c r="E8">
        <f>(DuLieu_ThucTe_TPHCM!H8-MIN(DuLieu_ThucTe_TPHCM!H$2:H$101))/(MAX(DuLieu_ThucTe_TPHCM!H$2:H$101)-MIN(DuLieu_ThucTe_TPHCM!H$2:H$101))</f>
        <v>1</v>
      </c>
    </row>
    <row r="9" spans="1:5">
      <c r="A9" t="str">
        <f>DuLieu_ThucTe_TPHCM!A9</f>
        <v>NT008</v>
      </c>
      <c r="B9">
        <f>(MAX(DuLieu_ThucTe_TPHCM!E$2:E$101)-DuLieu_ThucTe_TPHCM!E9)/(MAX(DuLieu_ThucTe_TPHCM!E$2:E$101)-MIN(DuLieu_ThucTe_TPHCM!E$2:E$101))</f>
        <v>0.10714285714285739</v>
      </c>
      <c r="C9">
        <f>(MAX(DuLieu_ThucTe_TPHCM!F$2:F$101)-DuLieu_ThucTe_TPHCM!F9)/(MAX(DuLieu_ThucTe_TPHCM!F$2:F$101)-MIN(DuLieu_ThucTe_TPHCM!F$2:F$101))</f>
        <v>0.17777777777777773</v>
      </c>
      <c r="D9">
        <f>(DuLieu_ThucTe_TPHCM!G9-MIN(DuLieu_ThucTe_TPHCM!G$2:G$101))/(MAX(DuLieu_ThucTe_TPHCM!G$2:G$101)-MIN(DuLieu_ThucTe_TPHCM!G$2:G$101))</f>
        <v>0.25</v>
      </c>
      <c r="E9">
        <f>(DuLieu_ThucTe_TPHCM!H9-MIN(DuLieu_ThucTe_TPHCM!H$2:H$101))/(MAX(DuLieu_ThucTe_TPHCM!H$2:H$101)-MIN(DuLieu_ThucTe_TPHCM!H$2:H$101))</f>
        <v>0.5</v>
      </c>
    </row>
    <row r="10" spans="1:5">
      <c r="A10" t="str">
        <f>DuLieu_ThucTe_TPHCM!A10</f>
        <v>NT009</v>
      </c>
      <c r="B10">
        <f>(MAX(DuLieu_ThucTe_TPHCM!E$2:E$101)-DuLieu_ThucTe_TPHCM!E10)/(MAX(DuLieu_ThucTe_TPHCM!E$2:E$101)-MIN(DuLieu_ThucTe_TPHCM!E$2:E$101))</f>
        <v>0</v>
      </c>
      <c r="C10">
        <f>(MAX(DuLieu_ThucTe_TPHCM!F$2:F$101)-DuLieu_ThucTe_TPHCM!F10)/(MAX(DuLieu_ThucTe_TPHCM!F$2:F$101)-MIN(DuLieu_ThucTe_TPHCM!F$2:F$101))</f>
        <v>0.93333333333333335</v>
      </c>
      <c r="D10">
        <f>(DuLieu_ThucTe_TPHCM!G10-MIN(DuLieu_ThucTe_TPHCM!G$2:G$101))/(MAX(DuLieu_ThucTe_TPHCM!G$2:G$101)-MIN(DuLieu_ThucTe_TPHCM!G$2:G$101))</f>
        <v>0.25</v>
      </c>
      <c r="E10">
        <f>(DuLieu_ThucTe_TPHCM!H10-MIN(DuLieu_ThucTe_TPHCM!H$2:H$101))/(MAX(DuLieu_ThucTe_TPHCM!H$2:H$101)-MIN(DuLieu_ThucTe_TPHCM!H$2:H$101))</f>
        <v>0.75</v>
      </c>
    </row>
    <row r="11" spans="1:5">
      <c r="A11" t="str">
        <f>DuLieu_ThucTe_TPHCM!A11</f>
        <v>NT010</v>
      </c>
      <c r="B11">
        <f>(MAX(DuLieu_ThucTe_TPHCM!E$2:E$101)-DuLieu_ThucTe_TPHCM!E11)/(MAX(DuLieu_ThucTe_TPHCM!E$2:E$101)-MIN(DuLieu_ThucTe_TPHCM!E$2:E$101))</f>
        <v>0.46428571428571447</v>
      </c>
      <c r="C11">
        <f>(MAX(DuLieu_ThucTe_TPHCM!F$2:F$101)-DuLieu_ThucTe_TPHCM!F11)/(MAX(DuLieu_ThucTe_TPHCM!F$2:F$101)-MIN(DuLieu_ThucTe_TPHCM!F$2:F$101))</f>
        <v>0.20000000000000007</v>
      </c>
      <c r="D11">
        <f>(DuLieu_ThucTe_TPHCM!G11-MIN(DuLieu_ThucTe_TPHCM!G$2:G$101))/(MAX(DuLieu_ThucTe_TPHCM!G$2:G$101)-MIN(DuLieu_ThucTe_TPHCM!G$2:G$101))</f>
        <v>0.25</v>
      </c>
      <c r="E11">
        <f>(DuLieu_ThucTe_TPHCM!H11-MIN(DuLieu_ThucTe_TPHCM!H$2:H$101))/(MAX(DuLieu_ThucTe_TPHCM!H$2:H$101)-MIN(DuLieu_ThucTe_TPHCM!H$2:H$101))</f>
        <v>0.75</v>
      </c>
    </row>
    <row r="12" spans="1:5">
      <c r="A12" t="str">
        <f>DuLieu_ThucTe_TPHCM!A12</f>
        <v>NT011</v>
      </c>
      <c r="B12">
        <f>(MAX(DuLieu_ThucTe_TPHCM!E$2:E$101)-DuLieu_ThucTe_TPHCM!E12)/(MAX(DuLieu_ThucTe_TPHCM!E$2:E$101)-MIN(DuLieu_ThucTe_TPHCM!E$2:E$101))</f>
        <v>0.21428571428571447</v>
      </c>
      <c r="C12">
        <f>(MAX(DuLieu_ThucTe_TPHCM!F$2:F$101)-DuLieu_ThucTe_TPHCM!F12)/(MAX(DuLieu_ThucTe_TPHCM!F$2:F$101)-MIN(DuLieu_ThucTe_TPHCM!F$2:F$101))</f>
        <v>0.13333333333333325</v>
      </c>
      <c r="D12">
        <f>(DuLieu_ThucTe_TPHCM!G12-MIN(DuLieu_ThucTe_TPHCM!G$2:G$101))/(MAX(DuLieu_ThucTe_TPHCM!G$2:G$101)-MIN(DuLieu_ThucTe_TPHCM!G$2:G$101))</f>
        <v>0.75</v>
      </c>
      <c r="E12">
        <f>(DuLieu_ThucTe_TPHCM!H12-MIN(DuLieu_ThucTe_TPHCM!H$2:H$101))/(MAX(DuLieu_ThucTe_TPHCM!H$2:H$101)-MIN(DuLieu_ThucTe_TPHCM!H$2:H$101))</f>
        <v>0.75</v>
      </c>
    </row>
    <row r="13" spans="1:5">
      <c r="A13" t="str">
        <f>DuLieu_ThucTe_TPHCM!A13</f>
        <v>NT012</v>
      </c>
      <c r="B13">
        <f>(MAX(DuLieu_ThucTe_TPHCM!E$2:E$101)-DuLieu_ThucTe_TPHCM!E13)/(MAX(DuLieu_ThucTe_TPHCM!E$2:E$101)-MIN(DuLieu_ThucTe_TPHCM!E$2:E$101))</f>
        <v>0.21428571428571447</v>
      </c>
      <c r="C13">
        <f>(MAX(DuLieu_ThucTe_TPHCM!F$2:F$101)-DuLieu_ThucTe_TPHCM!F13)/(MAX(DuLieu_ThucTe_TPHCM!F$2:F$101)-MIN(DuLieu_ThucTe_TPHCM!F$2:F$101))</f>
        <v>0.15555555555555559</v>
      </c>
      <c r="D13">
        <f>(DuLieu_ThucTe_TPHCM!G13-MIN(DuLieu_ThucTe_TPHCM!G$2:G$101))/(MAX(DuLieu_ThucTe_TPHCM!G$2:G$101)-MIN(DuLieu_ThucTe_TPHCM!G$2:G$101))</f>
        <v>1</v>
      </c>
      <c r="E13">
        <f>(DuLieu_ThucTe_TPHCM!H13-MIN(DuLieu_ThucTe_TPHCM!H$2:H$101))/(MAX(DuLieu_ThucTe_TPHCM!H$2:H$101)-MIN(DuLieu_ThucTe_TPHCM!H$2:H$101))</f>
        <v>0.5</v>
      </c>
    </row>
    <row r="14" spans="1:5">
      <c r="A14" t="str">
        <f>DuLieu_ThucTe_TPHCM!A14</f>
        <v>NT013</v>
      </c>
      <c r="B14">
        <f>(MAX(DuLieu_ThucTe_TPHCM!E$2:E$101)-DuLieu_ThucTe_TPHCM!E14)/(MAX(DuLieu_ThucTe_TPHCM!E$2:E$101)-MIN(DuLieu_ThucTe_TPHCM!E$2:E$101))</f>
        <v>0.85714285714285721</v>
      </c>
      <c r="C14">
        <f>(MAX(DuLieu_ThucTe_TPHCM!F$2:F$101)-DuLieu_ThucTe_TPHCM!F14)/(MAX(DuLieu_ThucTe_TPHCM!F$2:F$101)-MIN(DuLieu_ThucTe_TPHCM!F$2:F$101))</f>
        <v>0.39999999999999997</v>
      </c>
      <c r="D14">
        <f>(DuLieu_ThucTe_TPHCM!G14-MIN(DuLieu_ThucTe_TPHCM!G$2:G$101))/(MAX(DuLieu_ThucTe_TPHCM!G$2:G$101)-MIN(DuLieu_ThucTe_TPHCM!G$2:G$101))</f>
        <v>0.5</v>
      </c>
      <c r="E14">
        <f>(DuLieu_ThucTe_TPHCM!H14-MIN(DuLieu_ThucTe_TPHCM!H$2:H$101))/(MAX(DuLieu_ThucTe_TPHCM!H$2:H$101)-MIN(DuLieu_ThucTe_TPHCM!H$2:H$101))</f>
        <v>0</v>
      </c>
    </row>
    <row r="15" spans="1:5">
      <c r="A15" t="str">
        <f>DuLieu_ThucTe_TPHCM!A15</f>
        <v>NT014</v>
      </c>
      <c r="B15">
        <f>(MAX(DuLieu_ThucTe_TPHCM!E$2:E$101)-DuLieu_ThucTe_TPHCM!E15)/(MAX(DuLieu_ThucTe_TPHCM!E$2:E$101)-MIN(DuLieu_ThucTe_TPHCM!E$2:E$101))</f>
        <v>0.17857142857142855</v>
      </c>
      <c r="C15">
        <f>(MAX(DuLieu_ThucTe_TPHCM!F$2:F$101)-DuLieu_ThucTe_TPHCM!F15)/(MAX(DuLieu_ThucTe_TPHCM!F$2:F$101)-MIN(DuLieu_ThucTe_TPHCM!F$2:F$101))</f>
        <v>6.6666666666666624E-2</v>
      </c>
      <c r="D15">
        <f>(DuLieu_ThucTe_TPHCM!G15-MIN(DuLieu_ThucTe_TPHCM!G$2:G$101))/(MAX(DuLieu_ThucTe_TPHCM!G$2:G$101)-MIN(DuLieu_ThucTe_TPHCM!G$2:G$101))</f>
        <v>0.75</v>
      </c>
      <c r="E15">
        <f>(DuLieu_ThucTe_TPHCM!H15-MIN(DuLieu_ThucTe_TPHCM!H$2:H$101))/(MAX(DuLieu_ThucTe_TPHCM!H$2:H$101)-MIN(DuLieu_ThucTe_TPHCM!H$2:H$101))</f>
        <v>0.5</v>
      </c>
    </row>
    <row r="16" spans="1:5">
      <c r="A16" t="str">
        <f>DuLieu_ThucTe_TPHCM!A16</f>
        <v>NT015</v>
      </c>
      <c r="B16">
        <f>(MAX(DuLieu_ThucTe_TPHCM!E$2:E$101)-DuLieu_ThucTe_TPHCM!E16)/(MAX(DuLieu_ThucTe_TPHCM!E$2:E$101)-MIN(DuLieu_ThucTe_TPHCM!E$2:E$101))</f>
        <v>0.8214285714285714</v>
      </c>
      <c r="C16">
        <f>(MAX(DuLieu_ThucTe_TPHCM!F$2:F$101)-DuLieu_ThucTe_TPHCM!F16)/(MAX(DuLieu_ThucTe_TPHCM!F$2:F$101)-MIN(DuLieu_ThucTe_TPHCM!F$2:F$101))</f>
        <v>0.8222222222222223</v>
      </c>
      <c r="D16">
        <f>(DuLieu_ThucTe_TPHCM!G16-MIN(DuLieu_ThucTe_TPHCM!G$2:G$101))/(MAX(DuLieu_ThucTe_TPHCM!G$2:G$101)-MIN(DuLieu_ThucTe_TPHCM!G$2:G$101))</f>
        <v>0.5</v>
      </c>
      <c r="E16">
        <f>(DuLieu_ThucTe_TPHCM!H16-MIN(DuLieu_ThucTe_TPHCM!H$2:H$101))/(MAX(DuLieu_ThucTe_TPHCM!H$2:H$101)-MIN(DuLieu_ThucTe_TPHCM!H$2:H$101))</f>
        <v>0.25</v>
      </c>
    </row>
    <row r="17" spans="1:5">
      <c r="A17" t="str">
        <f>DuLieu_ThucTe_TPHCM!A17</f>
        <v>NT016</v>
      </c>
      <c r="B17">
        <f>(MAX(DuLieu_ThucTe_TPHCM!E$2:E$101)-DuLieu_ThucTe_TPHCM!E17)/(MAX(DuLieu_ThucTe_TPHCM!E$2:E$101)-MIN(DuLieu_ThucTe_TPHCM!E$2:E$101))</f>
        <v>0.6071428571428571</v>
      </c>
      <c r="C17">
        <f>(MAX(DuLieu_ThucTe_TPHCM!F$2:F$101)-DuLieu_ThucTe_TPHCM!F17)/(MAX(DuLieu_ThucTe_TPHCM!F$2:F$101)-MIN(DuLieu_ThucTe_TPHCM!F$2:F$101))</f>
        <v>0.28888888888888886</v>
      </c>
      <c r="D17">
        <f>(DuLieu_ThucTe_TPHCM!G17-MIN(DuLieu_ThucTe_TPHCM!G$2:G$101))/(MAX(DuLieu_ThucTe_TPHCM!G$2:G$101)-MIN(DuLieu_ThucTe_TPHCM!G$2:G$101))</f>
        <v>0.75</v>
      </c>
      <c r="E17">
        <f>(DuLieu_ThucTe_TPHCM!H17-MIN(DuLieu_ThucTe_TPHCM!H$2:H$101))/(MAX(DuLieu_ThucTe_TPHCM!H$2:H$101)-MIN(DuLieu_ThucTe_TPHCM!H$2:H$101))</f>
        <v>0.25</v>
      </c>
    </row>
    <row r="18" spans="1:5">
      <c r="A18" t="str">
        <f>DuLieu_ThucTe_TPHCM!A18</f>
        <v>NT017</v>
      </c>
      <c r="B18">
        <f>(MAX(DuLieu_ThucTe_TPHCM!E$2:E$101)-DuLieu_ThucTe_TPHCM!E18)/(MAX(DuLieu_ThucTe_TPHCM!E$2:E$101)-MIN(DuLieu_ThucTe_TPHCM!E$2:E$101))</f>
        <v>0.71428571428571441</v>
      </c>
      <c r="C18">
        <f>(MAX(DuLieu_ThucTe_TPHCM!F$2:F$101)-DuLieu_ThucTe_TPHCM!F18)/(MAX(DuLieu_ThucTe_TPHCM!F$2:F$101)-MIN(DuLieu_ThucTe_TPHCM!F$2:F$101))</f>
        <v>4.4444444444444481E-2</v>
      </c>
      <c r="D18">
        <f>(DuLieu_ThucTe_TPHCM!G18-MIN(DuLieu_ThucTe_TPHCM!G$2:G$101))/(MAX(DuLieu_ThucTe_TPHCM!G$2:G$101)-MIN(DuLieu_ThucTe_TPHCM!G$2:G$101))</f>
        <v>0.25</v>
      </c>
      <c r="E18">
        <f>(DuLieu_ThucTe_TPHCM!H18-MIN(DuLieu_ThucTe_TPHCM!H$2:H$101))/(MAX(DuLieu_ThucTe_TPHCM!H$2:H$101)-MIN(DuLieu_ThucTe_TPHCM!H$2:H$101))</f>
        <v>0.25</v>
      </c>
    </row>
    <row r="19" spans="1:5">
      <c r="A19" t="str">
        <f>DuLieu_ThucTe_TPHCM!A19</f>
        <v>NT018</v>
      </c>
      <c r="B19">
        <f>(MAX(DuLieu_ThucTe_TPHCM!E$2:E$101)-DuLieu_ThucTe_TPHCM!E19)/(MAX(DuLieu_ThucTe_TPHCM!E$2:E$101)-MIN(DuLieu_ThucTe_TPHCM!E$2:E$101))</f>
        <v>0.50000000000000011</v>
      </c>
      <c r="C19">
        <f>(MAX(DuLieu_ThucTe_TPHCM!F$2:F$101)-DuLieu_ThucTe_TPHCM!F19)/(MAX(DuLieu_ThucTe_TPHCM!F$2:F$101)-MIN(DuLieu_ThucTe_TPHCM!F$2:F$101))</f>
        <v>0.64444444444444438</v>
      </c>
      <c r="D19">
        <f>(DuLieu_ThucTe_TPHCM!G19-MIN(DuLieu_ThucTe_TPHCM!G$2:G$101))/(MAX(DuLieu_ThucTe_TPHCM!G$2:G$101)-MIN(DuLieu_ThucTe_TPHCM!G$2:G$101))</f>
        <v>0.75</v>
      </c>
      <c r="E19">
        <f>(DuLieu_ThucTe_TPHCM!H19-MIN(DuLieu_ThucTe_TPHCM!H$2:H$101))/(MAX(DuLieu_ThucTe_TPHCM!H$2:H$101)-MIN(DuLieu_ThucTe_TPHCM!H$2:H$101))</f>
        <v>0.25</v>
      </c>
    </row>
    <row r="20" spans="1:5">
      <c r="A20" t="str">
        <f>DuLieu_ThucTe_TPHCM!A20</f>
        <v>NT019</v>
      </c>
      <c r="B20">
        <f>(MAX(DuLieu_ThucTe_TPHCM!E$2:E$101)-DuLieu_ThucTe_TPHCM!E20)/(MAX(DuLieu_ThucTe_TPHCM!E$2:E$101)-MIN(DuLieu_ThucTe_TPHCM!E$2:E$101))</f>
        <v>0.6785714285714286</v>
      </c>
      <c r="C20">
        <f>(MAX(DuLieu_ThucTe_TPHCM!F$2:F$101)-DuLieu_ThucTe_TPHCM!F20)/(MAX(DuLieu_ThucTe_TPHCM!F$2:F$101)-MIN(DuLieu_ThucTe_TPHCM!F$2:F$101))</f>
        <v>0.37777777777777782</v>
      </c>
      <c r="D20">
        <f>(DuLieu_ThucTe_TPHCM!G20-MIN(DuLieu_ThucTe_TPHCM!G$2:G$101))/(MAX(DuLieu_ThucTe_TPHCM!G$2:G$101)-MIN(DuLieu_ThucTe_TPHCM!G$2:G$101))</f>
        <v>1</v>
      </c>
      <c r="E20">
        <f>(DuLieu_ThucTe_TPHCM!H20-MIN(DuLieu_ThucTe_TPHCM!H$2:H$101))/(MAX(DuLieu_ThucTe_TPHCM!H$2:H$101)-MIN(DuLieu_ThucTe_TPHCM!H$2:H$101))</f>
        <v>0.75</v>
      </c>
    </row>
    <row r="21" spans="1:5">
      <c r="A21" t="str">
        <f>DuLieu_ThucTe_TPHCM!A21</f>
        <v>NT020</v>
      </c>
      <c r="B21">
        <f>(MAX(DuLieu_ThucTe_TPHCM!E$2:E$101)-DuLieu_ThucTe_TPHCM!E21)/(MAX(DuLieu_ThucTe_TPHCM!E$2:E$101)-MIN(DuLieu_ThucTe_TPHCM!E$2:E$101))</f>
        <v>0.7857142857142857</v>
      </c>
      <c r="C21">
        <f>(MAX(DuLieu_ThucTe_TPHCM!F$2:F$101)-DuLieu_ThucTe_TPHCM!F21)/(MAX(DuLieu_ThucTe_TPHCM!F$2:F$101)-MIN(DuLieu_ThucTe_TPHCM!F$2:F$101))</f>
        <v>0.33333333333333331</v>
      </c>
      <c r="D21">
        <f>(DuLieu_ThucTe_TPHCM!G21-MIN(DuLieu_ThucTe_TPHCM!G$2:G$101))/(MAX(DuLieu_ThucTe_TPHCM!G$2:G$101)-MIN(DuLieu_ThucTe_TPHCM!G$2:G$101))</f>
        <v>0.75</v>
      </c>
      <c r="E21">
        <f>(DuLieu_ThucTe_TPHCM!H21-MIN(DuLieu_ThucTe_TPHCM!H$2:H$101))/(MAX(DuLieu_ThucTe_TPHCM!H$2:H$101)-MIN(DuLieu_ThucTe_TPHCM!H$2:H$101))</f>
        <v>0</v>
      </c>
    </row>
    <row r="22" spans="1:5">
      <c r="A22" t="str">
        <f>DuLieu_ThucTe_TPHCM!A22</f>
        <v>NT021</v>
      </c>
      <c r="B22">
        <f>(MAX(DuLieu_ThucTe_TPHCM!E$2:E$101)-DuLieu_ThucTe_TPHCM!E22)/(MAX(DuLieu_ThucTe_TPHCM!E$2:E$101)-MIN(DuLieu_ThucTe_TPHCM!E$2:E$101))</f>
        <v>0.3571428571428571</v>
      </c>
      <c r="C22">
        <f>(MAX(DuLieu_ThucTe_TPHCM!F$2:F$101)-DuLieu_ThucTe_TPHCM!F22)/(MAX(DuLieu_ThucTe_TPHCM!F$2:F$101)-MIN(DuLieu_ThucTe_TPHCM!F$2:F$101))</f>
        <v>0.60000000000000009</v>
      </c>
      <c r="D22">
        <f>(DuLieu_ThucTe_TPHCM!G22-MIN(DuLieu_ThucTe_TPHCM!G$2:G$101))/(MAX(DuLieu_ThucTe_TPHCM!G$2:G$101)-MIN(DuLieu_ThucTe_TPHCM!G$2:G$101))</f>
        <v>0.75</v>
      </c>
      <c r="E22">
        <f>(DuLieu_ThucTe_TPHCM!H22-MIN(DuLieu_ThucTe_TPHCM!H$2:H$101))/(MAX(DuLieu_ThucTe_TPHCM!H$2:H$101)-MIN(DuLieu_ThucTe_TPHCM!H$2:H$101))</f>
        <v>1</v>
      </c>
    </row>
    <row r="23" spans="1:5">
      <c r="A23" t="str">
        <f>DuLieu_ThucTe_TPHCM!A23</f>
        <v>NT022</v>
      </c>
      <c r="B23">
        <f>(MAX(DuLieu_ThucTe_TPHCM!E$2:E$101)-DuLieu_ThucTe_TPHCM!E23)/(MAX(DuLieu_ThucTe_TPHCM!E$2:E$101)-MIN(DuLieu_ThucTe_TPHCM!E$2:E$101))</f>
        <v>0.21428571428571447</v>
      </c>
      <c r="C23">
        <f>(MAX(DuLieu_ThucTe_TPHCM!F$2:F$101)-DuLieu_ThucTe_TPHCM!F23)/(MAX(DuLieu_ThucTe_TPHCM!F$2:F$101)-MIN(DuLieu_ThucTe_TPHCM!F$2:F$101))</f>
        <v>0.68888888888888888</v>
      </c>
      <c r="D23">
        <f>(DuLieu_ThucTe_TPHCM!G23-MIN(DuLieu_ThucTe_TPHCM!G$2:G$101))/(MAX(DuLieu_ThucTe_TPHCM!G$2:G$101)-MIN(DuLieu_ThucTe_TPHCM!G$2:G$101))</f>
        <v>0.5</v>
      </c>
      <c r="E23">
        <f>(DuLieu_ThucTe_TPHCM!H23-MIN(DuLieu_ThucTe_TPHCM!H$2:H$101))/(MAX(DuLieu_ThucTe_TPHCM!H$2:H$101)-MIN(DuLieu_ThucTe_TPHCM!H$2:H$101))</f>
        <v>0.75</v>
      </c>
    </row>
    <row r="24" spans="1:5">
      <c r="A24" t="str">
        <f>DuLieu_ThucTe_TPHCM!A24</f>
        <v>NT023</v>
      </c>
      <c r="B24">
        <f>(MAX(DuLieu_ThucTe_TPHCM!E$2:E$101)-DuLieu_ThucTe_TPHCM!E24)/(MAX(DuLieu_ThucTe_TPHCM!E$2:E$101)-MIN(DuLieu_ThucTe_TPHCM!E$2:E$101))</f>
        <v>7.142857142857148E-2</v>
      </c>
      <c r="C24">
        <f>(MAX(DuLieu_ThucTe_TPHCM!F$2:F$101)-DuLieu_ThucTe_TPHCM!F24)/(MAX(DuLieu_ThucTe_TPHCM!F$2:F$101)-MIN(DuLieu_ThucTe_TPHCM!F$2:F$101))</f>
        <v>0.95555555555555549</v>
      </c>
      <c r="D24">
        <f>(DuLieu_ThucTe_TPHCM!G24-MIN(DuLieu_ThucTe_TPHCM!G$2:G$101))/(MAX(DuLieu_ThucTe_TPHCM!G$2:G$101)-MIN(DuLieu_ThucTe_TPHCM!G$2:G$101))</f>
        <v>0.5</v>
      </c>
      <c r="E24">
        <f>(DuLieu_ThucTe_TPHCM!H24-MIN(DuLieu_ThucTe_TPHCM!H$2:H$101))/(MAX(DuLieu_ThucTe_TPHCM!H$2:H$101)-MIN(DuLieu_ThucTe_TPHCM!H$2:H$101))</f>
        <v>1</v>
      </c>
    </row>
    <row r="25" spans="1:5">
      <c r="A25" t="str">
        <f>DuLieu_ThucTe_TPHCM!A25</f>
        <v>NT024</v>
      </c>
      <c r="B25">
        <f>(MAX(DuLieu_ThucTe_TPHCM!E$2:E$101)-DuLieu_ThucTe_TPHCM!E25)/(MAX(DuLieu_ThucTe_TPHCM!E$2:E$101)-MIN(DuLieu_ThucTe_TPHCM!E$2:E$101))</f>
        <v>7.142857142857148E-2</v>
      </c>
      <c r="C25">
        <f>(MAX(DuLieu_ThucTe_TPHCM!F$2:F$101)-DuLieu_ThucTe_TPHCM!F25)/(MAX(DuLieu_ThucTe_TPHCM!F$2:F$101)-MIN(DuLieu_ThucTe_TPHCM!F$2:F$101))</f>
        <v>0.71111111111111114</v>
      </c>
      <c r="D25">
        <f>(DuLieu_ThucTe_TPHCM!G25-MIN(DuLieu_ThucTe_TPHCM!G$2:G$101))/(MAX(DuLieu_ThucTe_TPHCM!G$2:G$101)-MIN(DuLieu_ThucTe_TPHCM!G$2:G$101))</f>
        <v>1</v>
      </c>
      <c r="E25">
        <f>(DuLieu_ThucTe_TPHCM!H25-MIN(DuLieu_ThucTe_TPHCM!H$2:H$101))/(MAX(DuLieu_ThucTe_TPHCM!H$2:H$101)-MIN(DuLieu_ThucTe_TPHCM!H$2:H$101))</f>
        <v>0</v>
      </c>
    </row>
    <row r="26" spans="1:5">
      <c r="A26" t="str">
        <f>DuLieu_ThucTe_TPHCM!A26</f>
        <v>NT025</v>
      </c>
      <c r="B26">
        <f>(MAX(DuLieu_ThucTe_TPHCM!E$2:E$101)-DuLieu_ThucTe_TPHCM!E26)/(MAX(DuLieu_ThucTe_TPHCM!E$2:E$101)-MIN(DuLieu_ThucTe_TPHCM!E$2:E$101))</f>
        <v>0.8928571428571429</v>
      </c>
      <c r="C26">
        <f>(MAX(DuLieu_ThucTe_TPHCM!F$2:F$101)-DuLieu_ThucTe_TPHCM!F26)/(MAX(DuLieu_ThucTe_TPHCM!F$2:F$101)-MIN(DuLieu_ThucTe_TPHCM!F$2:F$101))</f>
        <v>0.77777777777777779</v>
      </c>
      <c r="D26">
        <f>(DuLieu_ThucTe_TPHCM!G26-MIN(DuLieu_ThucTe_TPHCM!G$2:G$101))/(MAX(DuLieu_ThucTe_TPHCM!G$2:G$101)-MIN(DuLieu_ThucTe_TPHCM!G$2:G$101))</f>
        <v>0.25</v>
      </c>
      <c r="E26">
        <f>(DuLieu_ThucTe_TPHCM!H26-MIN(DuLieu_ThucTe_TPHCM!H$2:H$101))/(MAX(DuLieu_ThucTe_TPHCM!H$2:H$101)-MIN(DuLieu_ThucTe_TPHCM!H$2:H$101))</f>
        <v>0.75</v>
      </c>
    </row>
    <row r="27" spans="1:5">
      <c r="A27" t="str">
        <f>DuLieu_ThucTe_TPHCM!A27</f>
        <v>NT026</v>
      </c>
      <c r="B27">
        <f>(MAX(DuLieu_ThucTe_TPHCM!E$2:E$101)-DuLieu_ThucTe_TPHCM!E27)/(MAX(DuLieu_ThucTe_TPHCM!E$2:E$101)-MIN(DuLieu_ThucTe_TPHCM!E$2:E$101))</f>
        <v>0.8214285714285714</v>
      </c>
      <c r="C27">
        <f>(MAX(DuLieu_ThucTe_TPHCM!F$2:F$101)-DuLieu_ThucTe_TPHCM!F27)/(MAX(DuLieu_ThucTe_TPHCM!F$2:F$101)-MIN(DuLieu_ThucTe_TPHCM!F$2:F$101))</f>
        <v>0.28888888888888886</v>
      </c>
      <c r="D27">
        <f>(DuLieu_ThucTe_TPHCM!G27-MIN(DuLieu_ThucTe_TPHCM!G$2:G$101))/(MAX(DuLieu_ThucTe_TPHCM!G$2:G$101)-MIN(DuLieu_ThucTe_TPHCM!G$2:G$101))</f>
        <v>0.75</v>
      </c>
      <c r="E27">
        <f>(DuLieu_ThucTe_TPHCM!H27-MIN(DuLieu_ThucTe_TPHCM!H$2:H$101))/(MAX(DuLieu_ThucTe_TPHCM!H$2:H$101)-MIN(DuLieu_ThucTe_TPHCM!H$2:H$101))</f>
        <v>0.75</v>
      </c>
    </row>
    <row r="28" spans="1:5">
      <c r="A28" t="str">
        <f>DuLieu_ThucTe_TPHCM!A28</f>
        <v>NT027</v>
      </c>
      <c r="B28">
        <f>(MAX(DuLieu_ThucTe_TPHCM!E$2:E$101)-DuLieu_ThucTe_TPHCM!E28)/(MAX(DuLieu_ThucTe_TPHCM!E$2:E$101)-MIN(DuLieu_ThucTe_TPHCM!E$2:E$101))</f>
        <v>0.75000000000000011</v>
      </c>
      <c r="C28">
        <f>(MAX(DuLieu_ThucTe_TPHCM!F$2:F$101)-DuLieu_ThucTe_TPHCM!F28)/(MAX(DuLieu_ThucTe_TPHCM!F$2:F$101)-MIN(DuLieu_ThucTe_TPHCM!F$2:F$101))</f>
        <v>0.75555555555555554</v>
      </c>
      <c r="D28">
        <f>(DuLieu_ThucTe_TPHCM!G28-MIN(DuLieu_ThucTe_TPHCM!G$2:G$101))/(MAX(DuLieu_ThucTe_TPHCM!G$2:G$101)-MIN(DuLieu_ThucTe_TPHCM!G$2:G$101))</f>
        <v>0.25</v>
      </c>
      <c r="E28">
        <f>(DuLieu_ThucTe_TPHCM!H28-MIN(DuLieu_ThucTe_TPHCM!H$2:H$101))/(MAX(DuLieu_ThucTe_TPHCM!H$2:H$101)-MIN(DuLieu_ThucTe_TPHCM!H$2:H$101))</f>
        <v>0.5</v>
      </c>
    </row>
    <row r="29" spans="1:5">
      <c r="A29" t="str">
        <f>DuLieu_ThucTe_TPHCM!A29</f>
        <v>NT028</v>
      </c>
      <c r="B29">
        <f>(MAX(DuLieu_ThucTe_TPHCM!E$2:E$101)-DuLieu_ThucTe_TPHCM!E29)/(MAX(DuLieu_ThucTe_TPHCM!E$2:E$101)-MIN(DuLieu_ThucTe_TPHCM!E$2:E$101))</f>
        <v>0.8928571428571429</v>
      </c>
      <c r="C29">
        <f>(MAX(DuLieu_ThucTe_TPHCM!F$2:F$101)-DuLieu_ThucTe_TPHCM!F29)/(MAX(DuLieu_ThucTe_TPHCM!F$2:F$101)-MIN(DuLieu_ThucTe_TPHCM!F$2:F$101))</f>
        <v>0.97777777777777786</v>
      </c>
      <c r="D29">
        <f>(DuLieu_ThucTe_TPHCM!G29-MIN(DuLieu_ThucTe_TPHCM!G$2:G$101))/(MAX(DuLieu_ThucTe_TPHCM!G$2:G$101)-MIN(DuLieu_ThucTe_TPHCM!G$2:G$101))</f>
        <v>0.5</v>
      </c>
      <c r="E29">
        <f>(DuLieu_ThucTe_TPHCM!H29-MIN(DuLieu_ThucTe_TPHCM!H$2:H$101))/(MAX(DuLieu_ThucTe_TPHCM!H$2:H$101)-MIN(DuLieu_ThucTe_TPHCM!H$2:H$101))</f>
        <v>0.25</v>
      </c>
    </row>
    <row r="30" spans="1:5">
      <c r="A30" t="str">
        <f>DuLieu_ThucTe_TPHCM!A30</f>
        <v>NT029</v>
      </c>
      <c r="B30">
        <f>(MAX(DuLieu_ThucTe_TPHCM!E$2:E$101)-DuLieu_ThucTe_TPHCM!E30)/(MAX(DuLieu_ThucTe_TPHCM!E$2:E$101)-MIN(DuLieu_ThucTe_TPHCM!E$2:E$101))</f>
        <v>0.7857142857142857</v>
      </c>
      <c r="C30">
        <f>(MAX(DuLieu_ThucTe_TPHCM!F$2:F$101)-DuLieu_ThucTe_TPHCM!F30)/(MAX(DuLieu_ThucTe_TPHCM!F$2:F$101)-MIN(DuLieu_ThucTe_TPHCM!F$2:F$101))</f>
        <v>4.4444444444444481E-2</v>
      </c>
      <c r="D30">
        <f>(DuLieu_ThucTe_TPHCM!G30-MIN(DuLieu_ThucTe_TPHCM!G$2:G$101))/(MAX(DuLieu_ThucTe_TPHCM!G$2:G$101)-MIN(DuLieu_ThucTe_TPHCM!G$2:G$101))</f>
        <v>0.25</v>
      </c>
      <c r="E30">
        <f>(DuLieu_ThucTe_TPHCM!H30-MIN(DuLieu_ThucTe_TPHCM!H$2:H$101))/(MAX(DuLieu_ThucTe_TPHCM!H$2:H$101)-MIN(DuLieu_ThucTe_TPHCM!H$2:H$101))</f>
        <v>0.25</v>
      </c>
    </row>
    <row r="31" spans="1:5">
      <c r="A31" t="str">
        <f>DuLieu_ThucTe_TPHCM!A31</f>
        <v>NT030</v>
      </c>
      <c r="B31">
        <f>(MAX(DuLieu_ThucTe_TPHCM!E$2:E$101)-DuLieu_ThucTe_TPHCM!E31)/(MAX(DuLieu_ThucTe_TPHCM!E$2:E$101)-MIN(DuLieu_ThucTe_TPHCM!E$2:E$101))</f>
        <v>0.85714285714285721</v>
      </c>
      <c r="C31">
        <f>(MAX(DuLieu_ThucTe_TPHCM!F$2:F$101)-DuLieu_ThucTe_TPHCM!F31)/(MAX(DuLieu_ThucTe_TPHCM!F$2:F$101)-MIN(DuLieu_ThucTe_TPHCM!F$2:F$101))</f>
        <v>0.24444444444444446</v>
      </c>
      <c r="D31">
        <f>(DuLieu_ThucTe_TPHCM!G31-MIN(DuLieu_ThucTe_TPHCM!G$2:G$101))/(MAX(DuLieu_ThucTe_TPHCM!G$2:G$101)-MIN(DuLieu_ThucTe_TPHCM!G$2:G$101))</f>
        <v>0</v>
      </c>
      <c r="E31">
        <f>(DuLieu_ThucTe_TPHCM!H31-MIN(DuLieu_ThucTe_TPHCM!H$2:H$101))/(MAX(DuLieu_ThucTe_TPHCM!H$2:H$101)-MIN(DuLieu_ThucTe_TPHCM!H$2:H$101))</f>
        <v>1</v>
      </c>
    </row>
    <row r="32" spans="1:5">
      <c r="A32" t="str">
        <f>DuLieu_ThucTe_TPHCM!A32</f>
        <v>NT031</v>
      </c>
      <c r="B32">
        <f>(MAX(DuLieu_ThucTe_TPHCM!E$2:E$101)-DuLieu_ThucTe_TPHCM!E32)/(MAX(DuLieu_ThucTe_TPHCM!E$2:E$101)-MIN(DuLieu_ThucTe_TPHCM!E$2:E$101))</f>
        <v>0.6785714285714286</v>
      </c>
      <c r="C32">
        <f>(MAX(DuLieu_ThucTe_TPHCM!F$2:F$101)-DuLieu_ThucTe_TPHCM!F32)/(MAX(DuLieu_ThucTe_TPHCM!F$2:F$101)-MIN(DuLieu_ThucTe_TPHCM!F$2:F$101))</f>
        <v>0.42222222222222222</v>
      </c>
      <c r="D32">
        <f>(DuLieu_ThucTe_TPHCM!G32-MIN(DuLieu_ThucTe_TPHCM!G$2:G$101))/(MAX(DuLieu_ThucTe_TPHCM!G$2:G$101)-MIN(DuLieu_ThucTe_TPHCM!G$2:G$101))</f>
        <v>1</v>
      </c>
      <c r="E32">
        <f>(DuLieu_ThucTe_TPHCM!H32-MIN(DuLieu_ThucTe_TPHCM!H$2:H$101))/(MAX(DuLieu_ThucTe_TPHCM!H$2:H$101)-MIN(DuLieu_ThucTe_TPHCM!H$2:H$101))</f>
        <v>0.5</v>
      </c>
    </row>
    <row r="33" spans="1:5">
      <c r="A33" t="str">
        <f>DuLieu_ThucTe_TPHCM!A33</f>
        <v>NT032</v>
      </c>
      <c r="B33">
        <f>(MAX(DuLieu_ThucTe_TPHCM!E$2:E$101)-DuLieu_ThucTe_TPHCM!E33)/(MAX(DuLieu_ThucTe_TPHCM!E$2:E$101)-MIN(DuLieu_ThucTe_TPHCM!E$2:E$101))</f>
        <v>0.32142857142857151</v>
      </c>
      <c r="C33">
        <f>(MAX(DuLieu_ThucTe_TPHCM!F$2:F$101)-DuLieu_ThucTe_TPHCM!F33)/(MAX(DuLieu_ThucTe_TPHCM!F$2:F$101)-MIN(DuLieu_ThucTe_TPHCM!F$2:F$101))</f>
        <v>0.44444444444444442</v>
      </c>
      <c r="D33">
        <f>(DuLieu_ThucTe_TPHCM!G33-MIN(DuLieu_ThucTe_TPHCM!G$2:G$101))/(MAX(DuLieu_ThucTe_TPHCM!G$2:G$101)-MIN(DuLieu_ThucTe_TPHCM!G$2:G$101))</f>
        <v>1</v>
      </c>
      <c r="E33">
        <f>(DuLieu_ThucTe_TPHCM!H33-MIN(DuLieu_ThucTe_TPHCM!H$2:H$101))/(MAX(DuLieu_ThucTe_TPHCM!H$2:H$101)-MIN(DuLieu_ThucTe_TPHCM!H$2:H$101))</f>
        <v>0</v>
      </c>
    </row>
    <row r="34" spans="1:5">
      <c r="A34" t="str">
        <f>DuLieu_ThucTe_TPHCM!A34</f>
        <v>NT033</v>
      </c>
      <c r="B34">
        <f>(MAX(DuLieu_ThucTe_TPHCM!E$2:E$101)-DuLieu_ThucTe_TPHCM!E34)/(MAX(DuLieu_ThucTe_TPHCM!E$2:E$101)-MIN(DuLieu_ThucTe_TPHCM!E$2:E$101))</f>
        <v>0.92857142857142871</v>
      </c>
      <c r="C34">
        <f>(MAX(DuLieu_ThucTe_TPHCM!F$2:F$101)-DuLieu_ThucTe_TPHCM!F34)/(MAX(DuLieu_ThucTe_TPHCM!F$2:F$101)-MIN(DuLieu_ThucTe_TPHCM!F$2:F$101))</f>
        <v>0.60000000000000009</v>
      </c>
      <c r="D34">
        <f>(DuLieu_ThucTe_TPHCM!G34-MIN(DuLieu_ThucTe_TPHCM!G$2:G$101))/(MAX(DuLieu_ThucTe_TPHCM!G$2:G$101)-MIN(DuLieu_ThucTe_TPHCM!G$2:G$101))</f>
        <v>0</v>
      </c>
      <c r="E34">
        <f>(DuLieu_ThucTe_TPHCM!H34-MIN(DuLieu_ThucTe_TPHCM!H$2:H$101))/(MAX(DuLieu_ThucTe_TPHCM!H$2:H$101)-MIN(DuLieu_ThucTe_TPHCM!H$2:H$101))</f>
        <v>1</v>
      </c>
    </row>
    <row r="35" spans="1:5">
      <c r="A35" t="str">
        <f>DuLieu_ThucTe_TPHCM!A35</f>
        <v>NT034</v>
      </c>
      <c r="B35">
        <f>(MAX(DuLieu_ThucTe_TPHCM!E$2:E$101)-DuLieu_ThucTe_TPHCM!E35)/(MAX(DuLieu_ThucTe_TPHCM!E$2:E$101)-MIN(DuLieu_ThucTe_TPHCM!E$2:E$101))</f>
        <v>7.142857142857148E-2</v>
      </c>
      <c r="C35">
        <f>(MAX(DuLieu_ThucTe_TPHCM!F$2:F$101)-DuLieu_ThucTe_TPHCM!F35)/(MAX(DuLieu_ThucTe_TPHCM!F$2:F$101)-MIN(DuLieu_ThucTe_TPHCM!F$2:F$101))</f>
        <v>0.62222222222222223</v>
      </c>
      <c r="D35">
        <f>(DuLieu_ThucTe_TPHCM!G35-MIN(DuLieu_ThucTe_TPHCM!G$2:G$101))/(MAX(DuLieu_ThucTe_TPHCM!G$2:G$101)-MIN(DuLieu_ThucTe_TPHCM!G$2:G$101))</f>
        <v>0.75</v>
      </c>
      <c r="E35">
        <f>(DuLieu_ThucTe_TPHCM!H35-MIN(DuLieu_ThucTe_TPHCM!H$2:H$101))/(MAX(DuLieu_ThucTe_TPHCM!H$2:H$101)-MIN(DuLieu_ThucTe_TPHCM!H$2:H$101))</f>
        <v>0</v>
      </c>
    </row>
    <row r="36" spans="1:5">
      <c r="A36" t="str">
        <f>DuLieu_ThucTe_TPHCM!A36</f>
        <v>NT035</v>
      </c>
      <c r="B36">
        <f>(MAX(DuLieu_ThucTe_TPHCM!E$2:E$101)-DuLieu_ThucTe_TPHCM!E36)/(MAX(DuLieu_ThucTe_TPHCM!E$2:E$101)-MIN(DuLieu_ThucTe_TPHCM!E$2:E$101))</f>
        <v>0.25000000000000006</v>
      </c>
      <c r="C36">
        <f>(MAX(DuLieu_ThucTe_TPHCM!F$2:F$101)-DuLieu_ThucTe_TPHCM!F36)/(MAX(DuLieu_ThucTe_TPHCM!F$2:F$101)-MIN(DuLieu_ThucTe_TPHCM!F$2:F$101))</f>
        <v>0.95555555555555549</v>
      </c>
      <c r="D36">
        <f>(DuLieu_ThucTe_TPHCM!G36-MIN(DuLieu_ThucTe_TPHCM!G$2:G$101))/(MAX(DuLieu_ThucTe_TPHCM!G$2:G$101)-MIN(DuLieu_ThucTe_TPHCM!G$2:G$101))</f>
        <v>0</v>
      </c>
      <c r="E36">
        <f>(DuLieu_ThucTe_TPHCM!H36-MIN(DuLieu_ThucTe_TPHCM!H$2:H$101))/(MAX(DuLieu_ThucTe_TPHCM!H$2:H$101)-MIN(DuLieu_ThucTe_TPHCM!H$2:H$101))</f>
        <v>0.25</v>
      </c>
    </row>
    <row r="37" spans="1:5">
      <c r="A37" t="str">
        <f>DuLieu_ThucTe_TPHCM!A37</f>
        <v>NT036</v>
      </c>
      <c r="B37">
        <f>(MAX(DuLieu_ThucTe_TPHCM!E$2:E$101)-DuLieu_ThucTe_TPHCM!E37)/(MAX(DuLieu_ThucTe_TPHCM!E$2:E$101)-MIN(DuLieu_ThucTe_TPHCM!E$2:E$101))</f>
        <v>0.25000000000000006</v>
      </c>
      <c r="C37">
        <f>(MAX(DuLieu_ThucTe_TPHCM!F$2:F$101)-DuLieu_ThucTe_TPHCM!F37)/(MAX(DuLieu_ThucTe_TPHCM!F$2:F$101)-MIN(DuLieu_ThucTe_TPHCM!F$2:F$101))</f>
        <v>0.28888888888888886</v>
      </c>
      <c r="D37">
        <f>(DuLieu_ThucTe_TPHCM!G37-MIN(DuLieu_ThucTe_TPHCM!G$2:G$101))/(MAX(DuLieu_ThucTe_TPHCM!G$2:G$101)-MIN(DuLieu_ThucTe_TPHCM!G$2:G$101))</f>
        <v>0.25</v>
      </c>
      <c r="E37">
        <f>(DuLieu_ThucTe_TPHCM!H37-MIN(DuLieu_ThucTe_TPHCM!H$2:H$101))/(MAX(DuLieu_ThucTe_TPHCM!H$2:H$101)-MIN(DuLieu_ThucTe_TPHCM!H$2:H$101))</f>
        <v>0.5</v>
      </c>
    </row>
    <row r="38" spans="1:5">
      <c r="A38" t="str">
        <f>DuLieu_ThucTe_TPHCM!A38</f>
        <v>NT037</v>
      </c>
      <c r="B38">
        <f>(MAX(DuLieu_ThucTe_TPHCM!E$2:E$101)-DuLieu_ThucTe_TPHCM!E38)/(MAX(DuLieu_ThucTe_TPHCM!E$2:E$101)-MIN(DuLieu_ThucTe_TPHCM!E$2:E$101))</f>
        <v>0.7857142857142857</v>
      </c>
      <c r="C38">
        <f>(MAX(DuLieu_ThucTe_TPHCM!F$2:F$101)-DuLieu_ThucTe_TPHCM!F38)/(MAX(DuLieu_ThucTe_TPHCM!F$2:F$101)-MIN(DuLieu_ThucTe_TPHCM!F$2:F$101))</f>
        <v>0.71111111111111114</v>
      </c>
      <c r="D38">
        <f>(DuLieu_ThucTe_TPHCM!G38-MIN(DuLieu_ThucTe_TPHCM!G$2:G$101))/(MAX(DuLieu_ThucTe_TPHCM!G$2:G$101)-MIN(DuLieu_ThucTe_TPHCM!G$2:G$101))</f>
        <v>0.25</v>
      </c>
      <c r="E38">
        <f>(DuLieu_ThucTe_TPHCM!H38-MIN(DuLieu_ThucTe_TPHCM!H$2:H$101))/(MAX(DuLieu_ThucTe_TPHCM!H$2:H$101)-MIN(DuLieu_ThucTe_TPHCM!H$2:H$101))</f>
        <v>1</v>
      </c>
    </row>
    <row r="39" spans="1:5">
      <c r="A39" t="str">
        <f>DuLieu_ThucTe_TPHCM!A39</f>
        <v>NT038</v>
      </c>
      <c r="B39">
        <f>(MAX(DuLieu_ThucTe_TPHCM!E$2:E$101)-DuLieu_ThucTe_TPHCM!E39)/(MAX(DuLieu_ThucTe_TPHCM!E$2:E$101)-MIN(DuLieu_ThucTe_TPHCM!E$2:E$101))</f>
        <v>0.53571428571428581</v>
      </c>
      <c r="C39">
        <f>(MAX(DuLieu_ThucTe_TPHCM!F$2:F$101)-DuLieu_ThucTe_TPHCM!F39)/(MAX(DuLieu_ThucTe_TPHCM!F$2:F$101)-MIN(DuLieu_ThucTe_TPHCM!F$2:F$101))</f>
        <v>8.8888888888888962E-2</v>
      </c>
      <c r="D39">
        <f>(DuLieu_ThucTe_TPHCM!G39-MIN(DuLieu_ThucTe_TPHCM!G$2:G$101))/(MAX(DuLieu_ThucTe_TPHCM!G$2:G$101)-MIN(DuLieu_ThucTe_TPHCM!G$2:G$101))</f>
        <v>1</v>
      </c>
      <c r="E39">
        <f>(DuLieu_ThucTe_TPHCM!H39-MIN(DuLieu_ThucTe_TPHCM!H$2:H$101))/(MAX(DuLieu_ThucTe_TPHCM!H$2:H$101)-MIN(DuLieu_ThucTe_TPHCM!H$2:H$101))</f>
        <v>1</v>
      </c>
    </row>
    <row r="40" spans="1:5">
      <c r="A40" t="str">
        <f>DuLieu_ThucTe_TPHCM!A40</f>
        <v>NT039</v>
      </c>
      <c r="B40">
        <f>(MAX(DuLieu_ThucTe_TPHCM!E$2:E$101)-DuLieu_ThucTe_TPHCM!E40)/(MAX(DuLieu_ThucTe_TPHCM!E$2:E$101)-MIN(DuLieu_ThucTe_TPHCM!E$2:E$101))</f>
        <v>0.32142857142857151</v>
      </c>
      <c r="C40">
        <f>(MAX(DuLieu_ThucTe_TPHCM!F$2:F$101)-DuLieu_ThucTe_TPHCM!F40)/(MAX(DuLieu_ThucTe_TPHCM!F$2:F$101)-MIN(DuLieu_ThucTe_TPHCM!F$2:F$101))</f>
        <v>0.1111111111111111</v>
      </c>
      <c r="D40">
        <f>(DuLieu_ThucTe_TPHCM!G40-MIN(DuLieu_ThucTe_TPHCM!G$2:G$101))/(MAX(DuLieu_ThucTe_TPHCM!G$2:G$101)-MIN(DuLieu_ThucTe_TPHCM!G$2:G$101))</f>
        <v>0</v>
      </c>
      <c r="E40">
        <f>(DuLieu_ThucTe_TPHCM!H40-MIN(DuLieu_ThucTe_TPHCM!H$2:H$101))/(MAX(DuLieu_ThucTe_TPHCM!H$2:H$101)-MIN(DuLieu_ThucTe_TPHCM!H$2:H$101))</f>
        <v>0.25</v>
      </c>
    </row>
    <row r="41" spans="1:5">
      <c r="A41" t="str">
        <f>DuLieu_ThucTe_TPHCM!A41</f>
        <v>NT040</v>
      </c>
      <c r="B41">
        <f>(MAX(DuLieu_ThucTe_TPHCM!E$2:E$101)-DuLieu_ThucTe_TPHCM!E41)/(MAX(DuLieu_ThucTe_TPHCM!E$2:E$101)-MIN(DuLieu_ThucTe_TPHCM!E$2:E$101))</f>
        <v>0.57142857142857162</v>
      </c>
      <c r="C41">
        <f>(MAX(DuLieu_ThucTe_TPHCM!F$2:F$101)-DuLieu_ThucTe_TPHCM!F41)/(MAX(DuLieu_ThucTe_TPHCM!F$2:F$101)-MIN(DuLieu_ThucTe_TPHCM!F$2:F$101))</f>
        <v>0.8</v>
      </c>
      <c r="D41">
        <f>(DuLieu_ThucTe_TPHCM!G41-MIN(DuLieu_ThucTe_TPHCM!G$2:G$101))/(MAX(DuLieu_ThucTe_TPHCM!G$2:G$101)-MIN(DuLieu_ThucTe_TPHCM!G$2:G$101))</f>
        <v>0.75</v>
      </c>
      <c r="E41">
        <f>(DuLieu_ThucTe_TPHCM!H41-MIN(DuLieu_ThucTe_TPHCM!H$2:H$101))/(MAX(DuLieu_ThucTe_TPHCM!H$2:H$101)-MIN(DuLieu_ThucTe_TPHCM!H$2:H$101))</f>
        <v>1</v>
      </c>
    </row>
    <row r="42" spans="1:5">
      <c r="A42" t="str">
        <f>DuLieu_ThucTe_TPHCM!A42</f>
        <v>NT041</v>
      </c>
      <c r="B42">
        <f>(MAX(DuLieu_ThucTe_TPHCM!E$2:E$101)-DuLieu_ThucTe_TPHCM!E42)/(MAX(DuLieu_ThucTe_TPHCM!E$2:E$101)-MIN(DuLieu_ThucTe_TPHCM!E$2:E$101))</f>
        <v>0.71428571428571441</v>
      </c>
      <c r="C42">
        <f>(MAX(DuLieu_ThucTe_TPHCM!F$2:F$101)-DuLieu_ThucTe_TPHCM!F42)/(MAX(DuLieu_ThucTe_TPHCM!F$2:F$101)-MIN(DuLieu_ThucTe_TPHCM!F$2:F$101))</f>
        <v>4.4444444444444481E-2</v>
      </c>
      <c r="D42">
        <f>(DuLieu_ThucTe_TPHCM!G42-MIN(DuLieu_ThucTe_TPHCM!G$2:G$101))/(MAX(DuLieu_ThucTe_TPHCM!G$2:G$101)-MIN(DuLieu_ThucTe_TPHCM!G$2:G$101))</f>
        <v>0.5</v>
      </c>
      <c r="E42">
        <f>(DuLieu_ThucTe_TPHCM!H42-MIN(DuLieu_ThucTe_TPHCM!H$2:H$101))/(MAX(DuLieu_ThucTe_TPHCM!H$2:H$101)-MIN(DuLieu_ThucTe_TPHCM!H$2:H$101))</f>
        <v>0.75</v>
      </c>
    </row>
    <row r="43" spans="1:5">
      <c r="A43" t="str">
        <f>DuLieu_ThucTe_TPHCM!A43</f>
        <v>NT042</v>
      </c>
      <c r="B43">
        <f>(MAX(DuLieu_ThucTe_TPHCM!E$2:E$101)-DuLieu_ThucTe_TPHCM!E43)/(MAX(DuLieu_ThucTe_TPHCM!E$2:E$101)-MIN(DuLieu_ThucTe_TPHCM!E$2:E$101))</f>
        <v>0.39285714285714302</v>
      </c>
      <c r="C43">
        <f>(MAX(DuLieu_ThucTe_TPHCM!F$2:F$101)-DuLieu_ThucTe_TPHCM!F43)/(MAX(DuLieu_ThucTe_TPHCM!F$2:F$101)-MIN(DuLieu_ThucTe_TPHCM!F$2:F$101))</f>
        <v>0.17777777777777773</v>
      </c>
      <c r="D43">
        <f>(DuLieu_ThucTe_TPHCM!G43-MIN(DuLieu_ThucTe_TPHCM!G$2:G$101))/(MAX(DuLieu_ThucTe_TPHCM!G$2:G$101)-MIN(DuLieu_ThucTe_TPHCM!G$2:G$101))</f>
        <v>0.5</v>
      </c>
      <c r="E43">
        <f>(DuLieu_ThucTe_TPHCM!H43-MIN(DuLieu_ThucTe_TPHCM!H$2:H$101))/(MAX(DuLieu_ThucTe_TPHCM!H$2:H$101)-MIN(DuLieu_ThucTe_TPHCM!H$2:H$101))</f>
        <v>0</v>
      </c>
    </row>
    <row r="44" spans="1:5">
      <c r="A44" t="str">
        <f>DuLieu_ThucTe_TPHCM!A44</f>
        <v>NT043</v>
      </c>
      <c r="B44">
        <f>(MAX(DuLieu_ThucTe_TPHCM!E$2:E$101)-DuLieu_ThucTe_TPHCM!E44)/(MAX(DuLieu_ThucTe_TPHCM!E$2:E$101)-MIN(DuLieu_ThucTe_TPHCM!E$2:E$101))</f>
        <v>0.6071428571428571</v>
      </c>
      <c r="C44">
        <f>(MAX(DuLieu_ThucTe_TPHCM!F$2:F$101)-DuLieu_ThucTe_TPHCM!F44)/(MAX(DuLieu_ThucTe_TPHCM!F$2:F$101)-MIN(DuLieu_ThucTe_TPHCM!F$2:F$101))</f>
        <v>0.20000000000000007</v>
      </c>
      <c r="D44">
        <f>(DuLieu_ThucTe_TPHCM!G44-MIN(DuLieu_ThucTe_TPHCM!G$2:G$101))/(MAX(DuLieu_ThucTe_TPHCM!G$2:G$101)-MIN(DuLieu_ThucTe_TPHCM!G$2:G$101))</f>
        <v>0.75</v>
      </c>
      <c r="E44">
        <f>(DuLieu_ThucTe_TPHCM!H44-MIN(DuLieu_ThucTe_TPHCM!H$2:H$101))/(MAX(DuLieu_ThucTe_TPHCM!H$2:H$101)-MIN(DuLieu_ThucTe_TPHCM!H$2:H$101))</f>
        <v>0</v>
      </c>
    </row>
    <row r="45" spans="1:5">
      <c r="A45" t="str">
        <f>DuLieu_ThucTe_TPHCM!A45</f>
        <v>NT044</v>
      </c>
      <c r="B45">
        <f>(MAX(DuLieu_ThucTe_TPHCM!E$2:E$101)-DuLieu_ThucTe_TPHCM!E45)/(MAX(DuLieu_ThucTe_TPHCM!E$2:E$101)-MIN(DuLieu_ThucTe_TPHCM!E$2:E$101))</f>
        <v>7.142857142857148E-2</v>
      </c>
      <c r="C45">
        <f>(MAX(DuLieu_ThucTe_TPHCM!F$2:F$101)-DuLieu_ThucTe_TPHCM!F45)/(MAX(DuLieu_ThucTe_TPHCM!F$2:F$101)-MIN(DuLieu_ThucTe_TPHCM!F$2:F$101))</f>
        <v>0.93333333333333335</v>
      </c>
      <c r="D45">
        <f>(DuLieu_ThucTe_TPHCM!G45-MIN(DuLieu_ThucTe_TPHCM!G$2:G$101))/(MAX(DuLieu_ThucTe_TPHCM!G$2:G$101)-MIN(DuLieu_ThucTe_TPHCM!G$2:G$101))</f>
        <v>0.5</v>
      </c>
      <c r="E45">
        <f>(DuLieu_ThucTe_TPHCM!H45-MIN(DuLieu_ThucTe_TPHCM!H$2:H$101))/(MAX(DuLieu_ThucTe_TPHCM!H$2:H$101)-MIN(DuLieu_ThucTe_TPHCM!H$2:H$101))</f>
        <v>1</v>
      </c>
    </row>
    <row r="46" spans="1:5">
      <c r="A46" t="str">
        <f>DuLieu_ThucTe_TPHCM!A46</f>
        <v>NT045</v>
      </c>
      <c r="B46">
        <f>(MAX(DuLieu_ThucTe_TPHCM!E$2:E$101)-DuLieu_ThucTe_TPHCM!E46)/(MAX(DuLieu_ThucTe_TPHCM!E$2:E$101)-MIN(DuLieu_ThucTe_TPHCM!E$2:E$101))</f>
        <v>0.50000000000000011</v>
      </c>
      <c r="C46">
        <f>(MAX(DuLieu_ThucTe_TPHCM!F$2:F$101)-DuLieu_ThucTe_TPHCM!F46)/(MAX(DuLieu_ThucTe_TPHCM!F$2:F$101)-MIN(DuLieu_ThucTe_TPHCM!F$2:F$101))</f>
        <v>2.2222222222222143E-2</v>
      </c>
      <c r="D46">
        <f>(DuLieu_ThucTe_TPHCM!G46-MIN(DuLieu_ThucTe_TPHCM!G$2:G$101))/(MAX(DuLieu_ThucTe_TPHCM!G$2:G$101)-MIN(DuLieu_ThucTe_TPHCM!G$2:G$101))</f>
        <v>0.25</v>
      </c>
      <c r="E46">
        <f>(DuLieu_ThucTe_TPHCM!H46-MIN(DuLieu_ThucTe_TPHCM!H$2:H$101))/(MAX(DuLieu_ThucTe_TPHCM!H$2:H$101)-MIN(DuLieu_ThucTe_TPHCM!H$2:H$101))</f>
        <v>0.75</v>
      </c>
    </row>
    <row r="47" spans="1:5">
      <c r="A47" t="str">
        <f>DuLieu_ThucTe_TPHCM!A47</f>
        <v>NT046</v>
      </c>
      <c r="B47">
        <f>(MAX(DuLieu_ThucTe_TPHCM!E$2:E$101)-DuLieu_ThucTe_TPHCM!E47)/(MAX(DuLieu_ThucTe_TPHCM!E$2:E$101)-MIN(DuLieu_ThucTe_TPHCM!E$2:E$101))</f>
        <v>0.8928571428571429</v>
      </c>
      <c r="C47">
        <f>(MAX(DuLieu_ThucTe_TPHCM!F$2:F$101)-DuLieu_ThucTe_TPHCM!F47)/(MAX(DuLieu_ThucTe_TPHCM!F$2:F$101)-MIN(DuLieu_ThucTe_TPHCM!F$2:F$101))</f>
        <v>2.2222222222222143E-2</v>
      </c>
      <c r="D47">
        <f>(DuLieu_ThucTe_TPHCM!G47-MIN(DuLieu_ThucTe_TPHCM!G$2:G$101))/(MAX(DuLieu_ThucTe_TPHCM!G$2:G$101)-MIN(DuLieu_ThucTe_TPHCM!G$2:G$101))</f>
        <v>0.5</v>
      </c>
      <c r="E47">
        <f>(DuLieu_ThucTe_TPHCM!H47-MIN(DuLieu_ThucTe_TPHCM!H$2:H$101))/(MAX(DuLieu_ThucTe_TPHCM!H$2:H$101)-MIN(DuLieu_ThucTe_TPHCM!H$2:H$101))</f>
        <v>0.25</v>
      </c>
    </row>
    <row r="48" spans="1:5">
      <c r="A48" t="str">
        <f>DuLieu_ThucTe_TPHCM!A48</f>
        <v>NT047</v>
      </c>
      <c r="B48">
        <f>(MAX(DuLieu_ThucTe_TPHCM!E$2:E$101)-DuLieu_ThucTe_TPHCM!E48)/(MAX(DuLieu_ThucTe_TPHCM!E$2:E$101)-MIN(DuLieu_ThucTe_TPHCM!E$2:E$101))</f>
        <v>0.6428571428571429</v>
      </c>
      <c r="C48">
        <f>(MAX(DuLieu_ThucTe_TPHCM!F$2:F$101)-DuLieu_ThucTe_TPHCM!F48)/(MAX(DuLieu_ThucTe_TPHCM!F$2:F$101)-MIN(DuLieu_ThucTe_TPHCM!F$2:F$101))</f>
        <v>0.37777777777777782</v>
      </c>
      <c r="D48">
        <f>(DuLieu_ThucTe_TPHCM!G48-MIN(DuLieu_ThucTe_TPHCM!G$2:G$101))/(MAX(DuLieu_ThucTe_TPHCM!G$2:G$101)-MIN(DuLieu_ThucTe_TPHCM!G$2:G$101))</f>
        <v>0</v>
      </c>
      <c r="E48">
        <f>(DuLieu_ThucTe_TPHCM!H48-MIN(DuLieu_ThucTe_TPHCM!H$2:H$101))/(MAX(DuLieu_ThucTe_TPHCM!H$2:H$101)-MIN(DuLieu_ThucTe_TPHCM!H$2:H$101))</f>
        <v>0.25</v>
      </c>
    </row>
    <row r="49" spans="1:5">
      <c r="A49" t="str">
        <f>DuLieu_ThucTe_TPHCM!A49</f>
        <v>NT048</v>
      </c>
      <c r="B49">
        <f>(MAX(DuLieu_ThucTe_TPHCM!E$2:E$101)-DuLieu_ThucTe_TPHCM!E49)/(MAX(DuLieu_ThucTe_TPHCM!E$2:E$101)-MIN(DuLieu_ThucTe_TPHCM!E$2:E$101))</f>
        <v>0.10714285714285739</v>
      </c>
      <c r="C49">
        <f>(MAX(DuLieu_ThucTe_TPHCM!F$2:F$101)-DuLieu_ThucTe_TPHCM!F49)/(MAX(DuLieu_ThucTe_TPHCM!F$2:F$101)-MIN(DuLieu_ThucTe_TPHCM!F$2:F$101))</f>
        <v>0.8222222222222223</v>
      </c>
      <c r="D49">
        <f>(DuLieu_ThucTe_TPHCM!G49-MIN(DuLieu_ThucTe_TPHCM!G$2:G$101))/(MAX(DuLieu_ThucTe_TPHCM!G$2:G$101)-MIN(DuLieu_ThucTe_TPHCM!G$2:G$101))</f>
        <v>0</v>
      </c>
      <c r="E49">
        <f>(DuLieu_ThucTe_TPHCM!H49-MIN(DuLieu_ThucTe_TPHCM!H$2:H$101))/(MAX(DuLieu_ThucTe_TPHCM!H$2:H$101)-MIN(DuLieu_ThucTe_TPHCM!H$2:H$101))</f>
        <v>0</v>
      </c>
    </row>
    <row r="50" spans="1:5">
      <c r="A50" t="str">
        <f>DuLieu_ThucTe_TPHCM!A50</f>
        <v>NT049</v>
      </c>
      <c r="B50">
        <f>(MAX(DuLieu_ThucTe_TPHCM!E$2:E$101)-DuLieu_ThucTe_TPHCM!E50)/(MAX(DuLieu_ThucTe_TPHCM!E$2:E$101)-MIN(DuLieu_ThucTe_TPHCM!E$2:E$101))</f>
        <v>0.32142857142857151</v>
      </c>
      <c r="C50">
        <f>(MAX(DuLieu_ThucTe_TPHCM!F$2:F$101)-DuLieu_ThucTe_TPHCM!F50)/(MAX(DuLieu_ThucTe_TPHCM!F$2:F$101)-MIN(DuLieu_ThucTe_TPHCM!F$2:F$101))</f>
        <v>0.17777777777777773</v>
      </c>
      <c r="D50">
        <f>(DuLieu_ThucTe_TPHCM!G50-MIN(DuLieu_ThucTe_TPHCM!G$2:G$101))/(MAX(DuLieu_ThucTe_TPHCM!G$2:G$101)-MIN(DuLieu_ThucTe_TPHCM!G$2:G$101))</f>
        <v>0.75</v>
      </c>
      <c r="E50">
        <f>(DuLieu_ThucTe_TPHCM!H50-MIN(DuLieu_ThucTe_TPHCM!H$2:H$101))/(MAX(DuLieu_ThucTe_TPHCM!H$2:H$101)-MIN(DuLieu_ThucTe_TPHCM!H$2:H$101))</f>
        <v>1</v>
      </c>
    </row>
    <row r="51" spans="1:5">
      <c r="A51" t="str">
        <f>DuLieu_ThucTe_TPHCM!A51</f>
        <v>NT050</v>
      </c>
      <c r="B51">
        <f>(MAX(DuLieu_ThucTe_TPHCM!E$2:E$101)-DuLieu_ThucTe_TPHCM!E51)/(MAX(DuLieu_ThucTe_TPHCM!E$2:E$101)-MIN(DuLieu_ThucTe_TPHCM!E$2:E$101))</f>
        <v>0.50000000000000011</v>
      </c>
      <c r="C51">
        <f>(MAX(DuLieu_ThucTe_TPHCM!F$2:F$101)-DuLieu_ThucTe_TPHCM!F51)/(MAX(DuLieu_ThucTe_TPHCM!F$2:F$101)-MIN(DuLieu_ThucTe_TPHCM!F$2:F$101))</f>
        <v>0</v>
      </c>
      <c r="D51">
        <f>(DuLieu_ThucTe_TPHCM!G51-MIN(DuLieu_ThucTe_TPHCM!G$2:G$101))/(MAX(DuLieu_ThucTe_TPHCM!G$2:G$101)-MIN(DuLieu_ThucTe_TPHCM!G$2:G$101))</f>
        <v>0.25</v>
      </c>
      <c r="E51">
        <f>(DuLieu_ThucTe_TPHCM!H51-MIN(DuLieu_ThucTe_TPHCM!H$2:H$101))/(MAX(DuLieu_ThucTe_TPHCM!H$2:H$101)-MIN(DuLieu_ThucTe_TPHCM!H$2:H$101))</f>
        <v>0.5</v>
      </c>
    </row>
    <row r="52" spans="1:5">
      <c r="A52" t="str">
        <f>DuLieu_ThucTe_TPHCM!A52</f>
        <v>NT051</v>
      </c>
      <c r="B52">
        <f>(MAX(DuLieu_ThucTe_TPHCM!E$2:E$101)-DuLieu_ThucTe_TPHCM!E52)/(MAX(DuLieu_ThucTe_TPHCM!E$2:E$101)-MIN(DuLieu_ThucTe_TPHCM!E$2:E$101))</f>
        <v>0.46428571428571447</v>
      </c>
      <c r="C52">
        <f>(MAX(DuLieu_ThucTe_TPHCM!F$2:F$101)-DuLieu_ThucTe_TPHCM!F52)/(MAX(DuLieu_ThucTe_TPHCM!F$2:F$101)-MIN(DuLieu_ThucTe_TPHCM!F$2:F$101))</f>
        <v>0.57777777777777783</v>
      </c>
      <c r="D52">
        <f>(DuLieu_ThucTe_TPHCM!G52-MIN(DuLieu_ThucTe_TPHCM!G$2:G$101))/(MAX(DuLieu_ThucTe_TPHCM!G$2:G$101)-MIN(DuLieu_ThucTe_TPHCM!G$2:G$101))</f>
        <v>0.25</v>
      </c>
      <c r="E52">
        <f>(DuLieu_ThucTe_TPHCM!H52-MIN(DuLieu_ThucTe_TPHCM!H$2:H$101))/(MAX(DuLieu_ThucTe_TPHCM!H$2:H$101)-MIN(DuLieu_ThucTe_TPHCM!H$2:H$101))</f>
        <v>1</v>
      </c>
    </row>
    <row r="53" spans="1:5">
      <c r="A53" t="str">
        <f>DuLieu_ThucTe_TPHCM!A53</f>
        <v>NT052</v>
      </c>
      <c r="B53">
        <f>(MAX(DuLieu_ThucTe_TPHCM!E$2:E$101)-DuLieu_ThucTe_TPHCM!E53)/(MAX(DuLieu_ThucTe_TPHCM!E$2:E$101)-MIN(DuLieu_ThucTe_TPHCM!E$2:E$101))</f>
        <v>0.25000000000000006</v>
      </c>
      <c r="C53">
        <f>(MAX(DuLieu_ThucTe_TPHCM!F$2:F$101)-DuLieu_ThucTe_TPHCM!F53)/(MAX(DuLieu_ThucTe_TPHCM!F$2:F$101)-MIN(DuLieu_ThucTe_TPHCM!F$2:F$101))</f>
        <v>0.64444444444444438</v>
      </c>
      <c r="D53">
        <f>(DuLieu_ThucTe_TPHCM!G53-MIN(DuLieu_ThucTe_TPHCM!G$2:G$101))/(MAX(DuLieu_ThucTe_TPHCM!G$2:G$101)-MIN(DuLieu_ThucTe_TPHCM!G$2:G$101))</f>
        <v>1</v>
      </c>
      <c r="E53">
        <f>(DuLieu_ThucTe_TPHCM!H53-MIN(DuLieu_ThucTe_TPHCM!H$2:H$101))/(MAX(DuLieu_ThucTe_TPHCM!H$2:H$101)-MIN(DuLieu_ThucTe_TPHCM!H$2:H$101))</f>
        <v>0.25</v>
      </c>
    </row>
    <row r="54" spans="1:5">
      <c r="A54" t="str">
        <f>DuLieu_ThucTe_TPHCM!A54</f>
        <v>NT053</v>
      </c>
      <c r="B54">
        <f>(MAX(DuLieu_ThucTe_TPHCM!E$2:E$101)-DuLieu_ThucTe_TPHCM!E54)/(MAX(DuLieu_ThucTe_TPHCM!E$2:E$101)-MIN(DuLieu_ThucTe_TPHCM!E$2:E$101))</f>
        <v>0.25000000000000006</v>
      </c>
      <c r="C54">
        <f>(MAX(DuLieu_ThucTe_TPHCM!F$2:F$101)-DuLieu_ThucTe_TPHCM!F54)/(MAX(DuLieu_ThucTe_TPHCM!F$2:F$101)-MIN(DuLieu_ThucTe_TPHCM!F$2:F$101))</f>
        <v>0.8</v>
      </c>
      <c r="D54">
        <f>(DuLieu_ThucTe_TPHCM!G54-MIN(DuLieu_ThucTe_TPHCM!G$2:G$101))/(MAX(DuLieu_ThucTe_TPHCM!G$2:G$101)-MIN(DuLieu_ThucTe_TPHCM!G$2:G$101))</f>
        <v>0.25</v>
      </c>
      <c r="E54">
        <f>(DuLieu_ThucTe_TPHCM!H54-MIN(DuLieu_ThucTe_TPHCM!H$2:H$101))/(MAX(DuLieu_ThucTe_TPHCM!H$2:H$101)-MIN(DuLieu_ThucTe_TPHCM!H$2:H$101))</f>
        <v>0.25</v>
      </c>
    </row>
    <row r="55" spans="1:5">
      <c r="A55" t="str">
        <f>DuLieu_ThucTe_TPHCM!A55</f>
        <v>NT054</v>
      </c>
      <c r="B55">
        <f>(MAX(DuLieu_ThucTe_TPHCM!E$2:E$101)-DuLieu_ThucTe_TPHCM!E55)/(MAX(DuLieu_ThucTe_TPHCM!E$2:E$101)-MIN(DuLieu_ThucTe_TPHCM!E$2:E$101))</f>
        <v>1</v>
      </c>
      <c r="C55">
        <f>(MAX(DuLieu_ThucTe_TPHCM!F$2:F$101)-DuLieu_ThucTe_TPHCM!F55)/(MAX(DuLieu_ThucTe_TPHCM!F$2:F$101)-MIN(DuLieu_ThucTe_TPHCM!F$2:F$101))</f>
        <v>0.91111111111111098</v>
      </c>
      <c r="D55">
        <f>(DuLieu_ThucTe_TPHCM!G55-MIN(DuLieu_ThucTe_TPHCM!G$2:G$101))/(MAX(DuLieu_ThucTe_TPHCM!G$2:G$101)-MIN(DuLieu_ThucTe_TPHCM!G$2:G$101))</f>
        <v>1</v>
      </c>
      <c r="E55">
        <f>(DuLieu_ThucTe_TPHCM!H55-MIN(DuLieu_ThucTe_TPHCM!H$2:H$101))/(MAX(DuLieu_ThucTe_TPHCM!H$2:H$101)-MIN(DuLieu_ThucTe_TPHCM!H$2:H$101))</f>
        <v>0.25</v>
      </c>
    </row>
    <row r="56" spans="1:5">
      <c r="A56" t="str">
        <f>DuLieu_ThucTe_TPHCM!A56</f>
        <v>NT055</v>
      </c>
      <c r="B56">
        <f>(MAX(DuLieu_ThucTe_TPHCM!E$2:E$101)-DuLieu_ThucTe_TPHCM!E56)/(MAX(DuLieu_ThucTe_TPHCM!E$2:E$101)-MIN(DuLieu_ThucTe_TPHCM!E$2:E$101))</f>
        <v>0.17857142857142855</v>
      </c>
      <c r="C56">
        <f>(MAX(DuLieu_ThucTe_TPHCM!F$2:F$101)-DuLieu_ThucTe_TPHCM!F56)/(MAX(DuLieu_ThucTe_TPHCM!F$2:F$101)-MIN(DuLieu_ThucTe_TPHCM!F$2:F$101))</f>
        <v>0.26666666666666672</v>
      </c>
      <c r="D56">
        <f>(DuLieu_ThucTe_TPHCM!G56-MIN(DuLieu_ThucTe_TPHCM!G$2:G$101))/(MAX(DuLieu_ThucTe_TPHCM!G$2:G$101)-MIN(DuLieu_ThucTe_TPHCM!G$2:G$101))</f>
        <v>0.75</v>
      </c>
      <c r="E56">
        <f>(DuLieu_ThucTe_TPHCM!H56-MIN(DuLieu_ThucTe_TPHCM!H$2:H$101))/(MAX(DuLieu_ThucTe_TPHCM!H$2:H$101)-MIN(DuLieu_ThucTe_TPHCM!H$2:H$101))</f>
        <v>0.75</v>
      </c>
    </row>
    <row r="57" spans="1:5">
      <c r="A57" t="str">
        <f>DuLieu_ThucTe_TPHCM!A57</f>
        <v>NT056</v>
      </c>
      <c r="B57">
        <f>(MAX(DuLieu_ThucTe_TPHCM!E$2:E$101)-DuLieu_ThucTe_TPHCM!E57)/(MAX(DuLieu_ThucTe_TPHCM!E$2:E$101)-MIN(DuLieu_ThucTe_TPHCM!E$2:E$101))</f>
        <v>0.10714285714285739</v>
      </c>
      <c r="C57">
        <f>(MAX(DuLieu_ThucTe_TPHCM!F$2:F$101)-DuLieu_ThucTe_TPHCM!F57)/(MAX(DuLieu_ThucTe_TPHCM!F$2:F$101)-MIN(DuLieu_ThucTe_TPHCM!F$2:F$101))</f>
        <v>0.33333333333333331</v>
      </c>
      <c r="D57">
        <f>(DuLieu_ThucTe_TPHCM!G57-MIN(DuLieu_ThucTe_TPHCM!G$2:G$101))/(MAX(DuLieu_ThucTe_TPHCM!G$2:G$101)-MIN(DuLieu_ThucTe_TPHCM!G$2:G$101))</f>
        <v>0.75</v>
      </c>
      <c r="E57">
        <f>(DuLieu_ThucTe_TPHCM!H57-MIN(DuLieu_ThucTe_TPHCM!H$2:H$101))/(MAX(DuLieu_ThucTe_TPHCM!H$2:H$101)-MIN(DuLieu_ThucTe_TPHCM!H$2:H$101))</f>
        <v>0</v>
      </c>
    </row>
    <row r="58" spans="1:5">
      <c r="A58" t="str">
        <f>DuLieu_ThucTe_TPHCM!A58</f>
        <v>NT057</v>
      </c>
      <c r="B58">
        <f>(MAX(DuLieu_ThucTe_TPHCM!E$2:E$101)-DuLieu_ThucTe_TPHCM!E58)/(MAX(DuLieu_ThucTe_TPHCM!E$2:E$101)-MIN(DuLieu_ThucTe_TPHCM!E$2:E$101))</f>
        <v>0.46428571428571447</v>
      </c>
      <c r="C58">
        <f>(MAX(DuLieu_ThucTe_TPHCM!F$2:F$101)-DuLieu_ThucTe_TPHCM!F58)/(MAX(DuLieu_ThucTe_TPHCM!F$2:F$101)-MIN(DuLieu_ThucTe_TPHCM!F$2:F$101))</f>
        <v>0.13333333333333325</v>
      </c>
      <c r="D58">
        <f>(DuLieu_ThucTe_TPHCM!G58-MIN(DuLieu_ThucTe_TPHCM!G$2:G$101))/(MAX(DuLieu_ThucTe_TPHCM!G$2:G$101)-MIN(DuLieu_ThucTe_TPHCM!G$2:G$101))</f>
        <v>0</v>
      </c>
      <c r="E58">
        <f>(DuLieu_ThucTe_TPHCM!H58-MIN(DuLieu_ThucTe_TPHCM!H$2:H$101))/(MAX(DuLieu_ThucTe_TPHCM!H$2:H$101)-MIN(DuLieu_ThucTe_TPHCM!H$2:H$101))</f>
        <v>0.25</v>
      </c>
    </row>
    <row r="59" spans="1:5">
      <c r="A59" t="str">
        <f>DuLieu_ThucTe_TPHCM!A59</f>
        <v>NT058</v>
      </c>
      <c r="B59">
        <f>(MAX(DuLieu_ThucTe_TPHCM!E$2:E$101)-DuLieu_ThucTe_TPHCM!E59)/(MAX(DuLieu_ThucTe_TPHCM!E$2:E$101)-MIN(DuLieu_ThucTe_TPHCM!E$2:E$101))</f>
        <v>0.53571428571428581</v>
      </c>
      <c r="C59">
        <f>(MAX(DuLieu_ThucTe_TPHCM!F$2:F$101)-DuLieu_ThucTe_TPHCM!F59)/(MAX(DuLieu_ThucTe_TPHCM!F$2:F$101)-MIN(DuLieu_ThucTe_TPHCM!F$2:F$101))</f>
        <v>0.35555555555555557</v>
      </c>
      <c r="D59">
        <f>(DuLieu_ThucTe_TPHCM!G59-MIN(DuLieu_ThucTe_TPHCM!G$2:G$101))/(MAX(DuLieu_ThucTe_TPHCM!G$2:G$101)-MIN(DuLieu_ThucTe_TPHCM!G$2:G$101))</f>
        <v>0.5</v>
      </c>
      <c r="E59">
        <f>(DuLieu_ThucTe_TPHCM!H59-MIN(DuLieu_ThucTe_TPHCM!H$2:H$101))/(MAX(DuLieu_ThucTe_TPHCM!H$2:H$101)-MIN(DuLieu_ThucTe_TPHCM!H$2:H$101))</f>
        <v>0</v>
      </c>
    </row>
    <row r="60" spans="1:5">
      <c r="A60" t="str">
        <f>DuLieu_ThucTe_TPHCM!A60</f>
        <v>NT059</v>
      </c>
      <c r="B60">
        <f>(MAX(DuLieu_ThucTe_TPHCM!E$2:E$101)-DuLieu_ThucTe_TPHCM!E60)/(MAX(DuLieu_ThucTe_TPHCM!E$2:E$101)-MIN(DuLieu_ThucTe_TPHCM!E$2:E$101))</f>
        <v>0.14285714285714296</v>
      </c>
      <c r="C60">
        <f>(MAX(DuLieu_ThucTe_TPHCM!F$2:F$101)-DuLieu_ThucTe_TPHCM!F60)/(MAX(DuLieu_ThucTe_TPHCM!F$2:F$101)-MIN(DuLieu_ThucTe_TPHCM!F$2:F$101))</f>
        <v>0.15555555555555559</v>
      </c>
      <c r="D60">
        <f>(DuLieu_ThucTe_TPHCM!G60-MIN(DuLieu_ThucTe_TPHCM!G$2:G$101))/(MAX(DuLieu_ThucTe_TPHCM!G$2:G$101)-MIN(DuLieu_ThucTe_TPHCM!G$2:G$101))</f>
        <v>0.25</v>
      </c>
      <c r="E60">
        <f>(DuLieu_ThucTe_TPHCM!H60-MIN(DuLieu_ThucTe_TPHCM!H$2:H$101))/(MAX(DuLieu_ThucTe_TPHCM!H$2:H$101)-MIN(DuLieu_ThucTe_TPHCM!H$2:H$101))</f>
        <v>1</v>
      </c>
    </row>
    <row r="61" spans="1:5">
      <c r="A61" t="str">
        <f>DuLieu_ThucTe_TPHCM!A61</f>
        <v>NT060</v>
      </c>
      <c r="B61">
        <f>(MAX(DuLieu_ThucTe_TPHCM!E$2:E$101)-DuLieu_ThucTe_TPHCM!E61)/(MAX(DuLieu_ThucTe_TPHCM!E$2:E$101)-MIN(DuLieu_ThucTe_TPHCM!E$2:E$101))</f>
        <v>1</v>
      </c>
      <c r="C61">
        <f>(MAX(DuLieu_ThucTe_TPHCM!F$2:F$101)-DuLieu_ThucTe_TPHCM!F61)/(MAX(DuLieu_ThucTe_TPHCM!F$2:F$101)-MIN(DuLieu_ThucTe_TPHCM!F$2:F$101))</f>
        <v>0.95555555555555549</v>
      </c>
      <c r="D61">
        <f>(DuLieu_ThucTe_TPHCM!G61-MIN(DuLieu_ThucTe_TPHCM!G$2:G$101))/(MAX(DuLieu_ThucTe_TPHCM!G$2:G$101)-MIN(DuLieu_ThucTe_TPHCM!G$2:G$101))</f>
        <v>0</v>
      </c>
      <c r="E61">
        <f>(DuLieu_ThucTe_TPHCM!H61-MIN(DuLieu_ThucTe_TPHCM!H$2:H$101))/(MAX(DuLieu_ThucTe_TPHCM!H$2:H$101)-MIN(DuLieu_ThucTe_TPHCM!H$2:H$101))</f>
        <v>0.25</v>
      </c>
    </row>
    <row r="62" spans="1:5">
      <c r="A62" t="str">
        <f>DuLieu_ThucTe_TPHCM!A62</f>
        <v>NT061</v>
      </c>
      <c r="B62">
        <f>(MAX(DuLieu_ThucTe_TPHCM!E$2:E$101)-DuLieu_ThucTe_TPHCM!E62)/(MAX(DuLieu_ThucTe_TPHCM!E$2:E$101)-MIN(DuLieu_ThucTe_TPHCM!E$2:E$101))</f>
        <v>0.28571428571428592</v>
      </c>
      <c r="C62">
        <f>(MAX(DuLieu_ThucTe_TPHCM!F$2:F$101)-DuLieu_ThucTe_TPHCM!F62)/(MAX(DuLieu_ThucTe_TPHCM!F$2:F$101)-MIN(DuLieu_ThucTe_TPHCM!F$2:F$101))</f>
        <v>0.26666666666666672</v>
      </c>
      <c r="D62">
        <f>(DuLieu_ThucTe_TPHCM!G62-MIN(DuLieu_ThucTe_TPHCM!G$2:G$101))/(MAX(DuLieu_ThucTe_TPHCM!G$2:G$101)-MIN(DuLieu_ThucTe_TPHCM!G$2:G$101))</f>
        <v>0.5</v>
      </c>
      <c r="E62">
        <f>(DuLieu_ThucTe_TPHCM!H62-MIN(DuLieu_ThucTe_TPHCM!H$2:H$101))/(MAX(DuLieu_ThucTe_TPHCM!H$2:H$101)-MIN(DuLieu_ThucTe_TPHCM!H$2:H$101))</f>
        <v>1</v>
      </c>
    </row>
    <row r="63" spans="1:5">
      <c r="A63" t="str">
        <f>DuLieu_ThucTe_TPHCM!A63</f>
        <v>NT062</v>
      </c>
      <c r="B63">
        <f>(MAX(DuLieu_ThucTe_TPHCM!E$2:E$101)-DuLieu_ThucTe_TPHCM!E63)/(MAX(DuLieu_ThucTe_TPHCM!E$2:E$101)-MIN(DuLieu_ThucTe_TPHCM!E$2:E$101))</f>
        <v>0.17857142857142855</v>
      </c>
      <c r="C63">
        <f>(MAX(DuLieu_ThucTe_TPHCM!F$2:F$101)-DuLieu_ThucTe_TPHCM!F63)/(MAX(DuLieu_ThucTe_TPHCM!F$2:F$101)-MIN(DuLieu_ThucTe_TPHCM!F$2:F$101))</f>
        <v>0.68888888888888888</v>
      </c>
      <c r="D63">
        <f>(DuLieu_ThucTe_TPHCM!G63-MIN(DuLieu_ThucTe_TPHCM!G$2:G$101))/(MAX(DuLieu_ThucTe_TPHCM!G$2:G$101)-MIN(DuLieu_ThucTe_TPHCM!G$2:G$101))</f>
        <v>0.75</v>
      </c>
      <c r="E63">
        <f>(DuLieu_ThucTe_TPHCM!H63-MIN(DuLieu_ThucTe_TPHCM!H$2:H$101))/(MAX(DuLieu_ThucTe_TPHCM!H$2:H$101)-MIN(DuLieu_ThucTe_TPHCM!H$2:H$101))</f>
        <v>0</v>
      </c>
    </row>
    <row r="64" spans="1:5">
      <c r="A64" t="str">
        <f>DuLieu_ThucTe_TPHCM!A64</f>
        <v>NT063</v>
      </c>
      <c r="B64">
        <f>(MAX(DuLieu_ThucTe_TPHCM!E$2:E$101)-DuLieu_ThucTe_TPHCM!E64)/(MAX(DuLieu_ThucTe_TPHCM!E$2:E$101)-MIN(DuLieu_ThucTe_TPHCM!E$2:E$101))</f>
        <v>0.46428571428571447</v>
      </c>
      <c r="C64">
        <f>(MAX(DuLieu_ThucTe_TPHCM!F$2:F$101)-DuLieu_ThucTe_TPHCM!F64)/(MAX(DuLieu_ThucTe_TPHCM!F$2:F$101)-MIN(DuLieu_ThucTe_TPHCM!F$2:F$101))</f>
        <v>0.39999999999999997</v>
      </c>
      <c r="D64">
        <f>(DuLieu_ThucTe_TPHCM!G64-MIN(DuLieu_ThucTe_TPHCM!G$2:G$101))/(MAX(DuLieu_ThucTe_TPHCM!G$2:G$101)-MIN(DuLieu_ThucTe_TPHCM!G$2:G$101))</f>
        <v>1</v>
      </c>
      <c r="E64">
        <f>(DuLieu_ThucTe_TPHCM!H64-MIN(DuLieu_ThucTe_TPHCM!H$2:H$101))/(MAX(DuLieu_ThucTe_TPHCM!H$2:H$101)-MIN(DuLieu_ThucTe_TPHCM!H$2:H$101))</f>
        <v>1</v>
      </c>
    </row>
    <row r="65" spans="1:5">
      <c r="A65" t="str">
        <f>DuLieu_ThucTe_TPHCM!A65</f>
        <v>NT064</v>
      </c>
      <c r="B65">
        <f>(MAX(DuLieu_ThucTe_TPHCM!E$2:E$101)-DuLieu_ThucTe_TPHCM!E65)/(MAX(DuLieu_ThucTe_TPHCM!E$2:E$101)-MIN(DuLieu_ThucTe_TPHCM!E$2:E$101))</f>
        <v>0.53571428571428581</v>
      </c>
      <c r="C65">
        <f>(MAX(DuLieu_ThucTe_TPHCM!F$2:F$101)-DuLieu_ThucTe_TPHCM!F65)/(MAX(DuLieu_ThucTe_TPHCM!F$2:F$101)-MIN(DuLieu_ThucTe_TPHCM!F$2:F$101))</f>
        <v>0.1111111111111111</v>
      </c>
      <c r="D65">
        <f>(DuLieu_ThucTe_TPHCM!G65-MIN(DuLieu_ThucTe_TPHCM!G$2:G$101))/(MAX(DuLieu_ThucTe_TPHCM!G$2:G$101)-MIN(DuLieu_ThucTe_TPHCM!G$2:G$101))</f>
        <v>0</v>
      </c>
      <c r="E65">
        <f>(DuLieu_ThucTe_TPHCM!H65-MIN(DuLieu_ThucTe_TPHCM!H$2:H$101))/(MAX(DuLieu_ThucTe_TPHCM!H$2:H$101)-MIN(DuLieu_ThucTe_TPHCM!H$2:H$101))</f>
        <v>1</v>
      </c>
    </row>
    <row r="66" spans="1:5">
      <c r="A66" t="str">
        <f>DuLieu_ThucTe_TPHCM!A66</f>
        <v>NT065</v>
      </c>
      <c r="B66">
        <f>(MAX(DuLieu_ThucTe_TPHCM!E$2:E$101)-DuLieu_ThucTe_TPHCM!E66)/(MAX(DuLieu_ThucTe_TPHCM!E$2:E$101)-MIN(DuLieu_ThucTe_TPHCM!E$2:E$101))</f>
        <v>0.9642857142857143</v>
      </c>
      <c r="C66">
        <f>(MAX(DuLieu_ThucTe_TPHCM!F$2:F$101)-DuLieu_ThucTe_TPHCM!F66)/(MAX(DuLieu_ThucTe_TPHCM!F$2:F$101)-MIN(DuLieu_ThucTe_TPHCM!F$2:F$101))</f>
        <v>0.20000000000000007</v>
      </c>
      <c r="D66">
        <f>(DuLieu_ThucTe_TPHCM!G66-MIN(DuLieu_ThucTe_TPHCM!G$2:G$101))/(MAX(DuLieu_ThucTe_TPHCM!G$2:G$101)-MIN(DuLieu_ThucTe_TPHCM!G$2:G$101))</f>
        <v>0.75</v>
      </c>
      <c r="E66">
        <f>(DuLieu_ThucTe_TPHCM!H66-MIN(DuLieu_ThucTe_TPHCM!H$2:H$101))/(MAX(DuLieu_ThucTe_TPHCM!H$2:H$101)-MIN(DuLieu_ThucTe_TPHCM!H$2:H$101))</f>
        <v>0.25</v>
      </c>
    </row>
    <row r="67" spans="1:5">
      <c r="A67" t="str">
        <f>DuLieu_ThucTe_TPHCM!A67</f>
        <v>NT066</v>
      </c>
      <c r="B67">
        <f>(MAX(DuLieu_ThucTe_TPHCM!E$2:E$101)-DuLieu_ThucTe_TPHCM!E67)/(MAX(DuLieu_ThucTe_TPHCM!E$2:E$101)-MIN(DuLieu_ThucTe_TPHCM!E$2:E$101))</f>
        <v>0.39285714285714302</v>
      </c>
      <c r="C67">
        <f>(MAX(DuLieu_ThucTe_TPHCM!F$2:F$101)-DuLieu_ThucTe_TPHCM!F67)/(MAX(DuLieu_ThucTe_TPHCM!F$2:F$101)-MIN(DuLieu_ThucTe_TPHCM!F$2:F$101))</f>
        <v>0.1111111111111111</v>
      </c>
      <c r="D67">
        <f>(DuLieu_ThucTe_TPHCM!G67-MIN(DuLieu_ThucTe_TPHCM!G$2:G$101))/(MAX(DuLieu_ThucTe_TPHCM!G$2:G$101)-MIN(DuLieu_ThucTe_TPHCM!G$2:G$101))</f>
        <v>1</v>
      </c>
      <c r="E67">
        <f>(DuLieu_ThucTe_TPHCM!H67-MIN(DuLieu_ThucTe_TPHCM!H$2:H$101))/(MAX(DuLieu_ThucTe_TPHCM!H$2:H$101)-MIN(DuLieu_ThucTe_TPHCM!H$2:H$101))</f>
        <v>0.75</v>
      </c>
    </row>
    <row r="68" spans="1:5">
      <c r="A68" t="str">
        <f>DuLieu_ThucTe_TPHCM!A68</f>
        <v>NT067</v>
      </c>
      <c r="B68">
        <f>(MAX(DuLieu_ThucTe_TPHCM!E$2:E$101)-DuLieu_ThucTe_TPHCM!E68)/(MAX(DuLieu_ThucTe_TPHCM!E$2:E$101)-MIN(DuLieu_ThucTe_TPHCM!E$2:E$101))</f>
        <v>0.3571428571428571</v>
      </c>
      <c r="C68">
        <f>(MAX(DuLieu_ThucTe_TPHCM!F$2:F$101)-DuLieu_ThucTe_TPHCM!F68)/(MAX(DuLieu_ThucTe_TPHCM!F$2:F$101)-MIN(DuLieu_ThucTe_TPHCM!F$2:F$101))</f>
        <v>2.2222222222222143E-2</v>
      </c>
      <c r="D68">
        <f>(DuLieu_ThucTe_TPHCM!G68-MIN(DuLieu_ThucTe_TPHCM!G$2:G$101))/(MAX(DuLieu_ThucTe_TPHCM!G$2:G$101)-MIN(DuLieu_ThucTe_TPHCM!G$2:G$101))</f>
        <v>1</v>
      </c>
      <c r="E68">
        <f>(DuLieu_ThucTe_TPHCM!H68-MIN(DuLieu_ThucTe_TPHCM!H$2:H$101))/(MAX(DuLieu_ThucTe_TPHCM!H$2:H$101)-MIN(DuLieu_ThucTe_TPHCM!H$2:H$101))</f>
        <v>0</v>
      </c>
    </row>
    <row r="69" spans="1:5">
      <c r="A69" t="str">
        <f>DuLieu_ThucTe_TPHCM!A69</f>
        <v>NT068</v>
      </c>
      <c r="B69">
        <f>(MAX(DuLieu_ThucTe_TPHCM!E$2:E$101)-DuLieu_ThucTe_TPHCM!E69)/(MAX(DuLieu_ThucTe_TPHCM!E$2:E$101)-MIN(DuLieu_ThucTe_TPHCM!E$2:E$101))</f>
        <v>0.28571428571428592</v>
      </c>
      <c r="C69">
        <f>(MAX(DuLieu_ThucTe_TPHCM!F$2:F$101)-DuLieu_ThucTe_TPHCM!F69)/(MAX(DuLieu_ThucTe_TPHCM!F$2:F$101)-MIN(DuLieu_ThucTe_TPHCM!F$2:F$101))</f>
        <v>0.24444444444444446</v>
      </c>
      <c r="D69">
        <f>(DuLieu_ThucTe_TPHCM!G69-MIN(DuLieu_ThucTe_TPHCM!G$2:G$101))/(MAX(DuLieu_ThucTe_TPHCM!G$2:G$101)-MIN(DuLieu_ThucTe_TPHCM!G$2:G$101))</f>
        <v>1</v>
      </c>
      <c r="E69">
        <f>(DuLieu_ThucTe_TPHCM!H69-MIN(DuLieu_ThucTe_TPHCM!H$2:H$101))/(MAX(DuLieu_ThucTe_TPHCM!H$2:H$101)-MIN(DuLieu_ThucTe_TPHCM!H$2:H$101))</f>
        <v>0.5</v>
      </c>
    </row>
    <row r="70" spans="1:5">
      <c r="A70" t="str">
        <f>DuLieu_ThucTe_TPHCM!A70</f>
        <v>NT069</v>
      </c>
      <c r="B70">
        <f>(MAX(DuLieu_ThucTe_TPHCM!E$2:E$101)-DuLieu_ThucTe_TPHCM!E70)/(MAX(DuLieu_ThucTe_TPHCM!E$2:E$101)-MIN(DuLieu_ThucTe_TPHCM!E$2:E$101))</f>
        <v>0.6428571428571429</v>
      </c>
      <c r="C70">
        <f>(MAX(DuLieu_ThucTe_TPHCM!F$2:F$101)-DuLieu_ThucTe_TPHCM!F70)/(MAX(DuLieu_ThucTe_TPHCM!F$2:F$101)-MIN(DuLieu_ThucTe_TPHCM!F$2:F$101))</f>
        <v>1</v>
      </c>
      <c r="D70">
        <f>(DuLieu_ThucTe_TPHCM!G70-MIN(DuLieu_ThucTe_TPHCM!G$2:G$101))/(MAX(DuLieu_ThucTe_TPHCM!G$2:G$101)-MIN(DuLieu_ThucTe_TPHCM!G$2:G$101))</f>
        <v>0</v>
      </c>
      <c r="E70">
        <f>(DuLieu_ThucTe_TPHCM!H70-MIN(DuLieu_ThucTe_TPHCM!H$2:H$101))/(MAX(DuLieu_ThucTe_TPHCM!H$2:H$101)-MIN(DuLieu_ThucTe_TPHCM!H$2:H$101))</f>
        <v>1</v>
      </c>
    </row>
    <row r="71" spans="1:5">
      <c r="A71" t="str">
        <f>DuLieu_ThucTe_TPHCM!A71</f>
        <v>NT070</v>
      </c>
      <c r="B71">
        <f>(MAX(DuLieu_ThucTe_TPHCM!E$2:E$101)-DuLieu_ThucTe_TPHCM!E71)/(MAX(DuLieu_ThucTe_TPHCM!E$2:E$101)-MIN(DuLieu_ThucTe_TPHCM!E$2:E$101))</f>
        <v>0.9642857142857143</v>
      </c>
      <c r="C71">
        <f>(MAX(DuLieu_ThucTe_TPHCM!F$2:F$101)-DuLieu_ThucTe_TPHCM!F71)/(MAX(DuLieu_ThucTe_TPHCM!F$2:F$101)-MIN(DuLieu_ThucTe_TPHCM!F$2:F$101))</f>
        <v>0.71111111111111114</v>
      </c>
      <c r="D71">
        <f>(DuLieu_ThucTe_TPHCM!G71-MIN(DuLieu_ThucTe_TPHCM!G$2:G$101))/(MAX(DuLieu_ThucTe_TPHCM!G$2:G$101)-MIN(DuLieu_ThucTe_TPHCM!G$2:G$101))</f>
        <v>0.5</v>
      </c>
      <c r="E71">
        <f>(DuLieu_ThucTe_TPHCM!H71-MIN(DuLieu_ThucTe_TPHCM!H$2:H$101))/(MAX(DuLieu_ThucTe_TPHCM!H$2:H$101)-MIN(DuLieu_ThucTe_TPHCM!H$2:H$101))</f>
        <v>0</v>
      </c>
    </row>
    <row r="72" spans="1:5">
      <c r="A72" t="str">
        <f>DuLieu_ThucTe_TPHCM!A72</f>
        <v>NT071</v>
      </c>
      <c r="B72">
        <f>(MAX(DuLieu_ThucTe_TPHCM!E$2:E$101)-DuLieu_ThucTe_TPHCM!E72)/(MAX(DuLieu_ThucTe_TPHCM!E$2:E$101)-MIN(DuLieu_ThucTe_TPHCM!E$2:E$101))</f>
        <v>0.28571428571428592</v>
      </c>
      <c r="C72">
        <f>(MAX(DuLieu_ThucTe_TPHCM!F$2:F$101)-DuLieu_ThucTe_TPHCM!F72)/(MAX(DuLieu_ThucTe_TPHCM!F$2:F$101)-MIN(DuLieu_ThucTe_TPHCM!F$2:F$101))</f>
        <v>0.88888888888888884</v>
      </c>
      <c r="D72">
        <f>(DuLieu_ThucTe_TPHCM!G72-MIN(DuLieu_ThucTe_TPHCM!G$2:G$101))/(MAX(DuLieu_ThucTe_TPHCM!G$2:G$101)-MIN(DuLieu_ThucTe_TPHCM!G$2:G$101))</f>
        <v>1</v>
      </c>
      <c r="E72">
        <f>(DuLieu_ThucTe_TPHCM!H72-MIN(DuLieu_ThucTe_TPHCM!H$2:H$101))/(MAX(DuLieu_ThucTe_TPHCM!H$2:H$101)-MIN(DuLieu_ThucTe_TPHCM!H$2:H$101))</f>
        <v>0</v>
      </c>
    </row>
    <row r="73" spans="1:5">
      <c r="A73" t="str">
        <f>DuLieu_ThucTe_TPHCM!A73</f>
        <v>NT072</v>
      </c>
      <c r="B73">
        <f>(MAX(DuLieu_ThucTe_TPHCM!E$2:E$101)-DuLieu_ThucTe_TPHCM!E73)/(MAX(DuLieu_ThucTe_TPHCM!E$2:E$101)-MIN(DuLieu_ThucTe_TPHCM!E$2:E$101))</f>
        <v>0.57142857142857162</v>
      </c>
      <c r="C73">
        <f>(MAX(DuLieu_ThucTe_TPHCM!F$2:F$101)-DuLieu_ThucTe_TPHCM!F73)/(MAX(DuLieu_ThucTe_TPHCM!F$2:F$101)-MIN(DuLieu_ThucTe_TPHCM!F$2:F$101))</f>
        <v>0.44444444444444442</v>
      </c>
      <c r="D73">
        <f>(DuLieu_ThucTe_TPHCM!G73-MIN(DuLieu_ThucTe_TPHCM!G$2:G$101))/(MAX(DuLieu_ThucTe_TPHCM!G$2:G$101)-MIN(DuLieu_ThucTe_TPHCM!G$2:G$101))</f>
        <v>1</v>
      </c>
      <c r="E73">
        <f>(DuLieu_ThucTe_TPHCM!H73-MIN(DuLieu_ThucTe_TPHCM!H$2:H$101))/(MAX(DuLieu_ThucTe_TPHCM!H$2:H$101)-MIN(DuLieu_ThucTe_TPHCM!H$2:H$101))</f>
        <v>1</v>
      </c>
    </row>
    <row r="74" spans="1:5">
      <c r="A74" t="str">
        <f>DuLieu_ThucTe_TPHCM!A74</f>
        <v>NT073</v>
      </c>
      <c r="B74">
        <f>(MAX(DuLieu_ThucTe_TPHCM!E$2:E$101)-DuLieu_ThucTe_TPHCM!E74)/(MAX(DuLieu_ThucTe_TPHCM!E$2:E$101)-MIN(DuLieu_ThucTe_TPHCM!E$2:E$101))</f>
        <v>0.6428571428571429</v>
      </c>
      <c r="C74">
        <f>(MAX(DuLieu_ThucTe_TPHCM!F$2:F$101)-DuLieu_ThucTe_TPHCM!F74)/(MAX(DuLieu_ThucTe_TPHCM!F$2:F$101)-MIN(DuLieu_ThucTe_TPHCM!F$2:F$101))</f>
        <v>0.66666666666666663</v>
      </c>
      <c r="D74">
        <f>(DuLieu_ThucTe_TPHCM!G74-MIN(DuLieu_ThucTe_TPHCM!G$2:G$101))/(MAX(DuLieu_ThucTe_TPHCM!G$2:G$101)-MIN(DuLieu_ThucTe_TPHCM!G$2:G$101))</f>
        <v>0.75</v>
      </c>
      <c r="E74">
        <f>(DuLieu_ThucTe_TPHCM!H74-MIN(DuLieu_ThucTe_TPHCM!H$2:H$101))/(MAX(DuLieu_ThucTe_TPHCM!H$2:H$101)-MIN(DuLieu_ThucTe_TPHCM!H$2:H$101))</f>
        <v>0</v>
      </c>
    </row>
    <row r="75" spans="1:5">
      <c r="A75" t="str">
        <f>DuLieu_ThucTe_TPHCM!A75</f>
        <v>NT074</v>
      </c>
      <c r="B75">
        <f>(MAX(DuLieu_ThucTe_TPHCM!E$2:E$101)-DuLieu_ThucTe_TPHCM!E75)/(MAX(DuLieu_ThucTe_TPHCM!E$2:E$101)-MIN(DuLieu_ThucTe_TPHCM!E$2:E$101))</f>
        <v>0.57142857142857162</v>
      </c>
      <c r="C75">
        <f>(MAX(DuLieu_ThucTe_TPHCM!F$2:F$101)-DuLieu_ThucTe_TPHCM!F75)/(MAX(DuLieu_ThucTe_TPHCM!F$2:F$101)-MIN(DuLieu_ThucTe_TPHCM!F$2:F$101))</f>
        <v>0.71111111111111114</v>
      </c>
      <c r="D75">
        <f>(DuLieu_ThucTe_TPHCM!G75-MIN(DuLieu_ThucTe_TPHCM!G$2:G$101))/(MAX(DuLieu_ThucTe_TPHCM!G$2:G$101)-MIN(DuLieu_ThucTe_TPHCM!G$2:G$101))</f>
        <v>0</v>
      </c>
      <c r="E75">
        <f>(DuLieu_ThucTe_TPHCM!H75-MIN(DuLieu_ThucTe_TPHCM!H$2:H$101))/(MAX(DuLieu_ThucTe_TPHCM!H$2:H$101)-MIN(DuLieu_ThucTe_TPHCM!H$2:H$101))</f>
        <v>0.5</v>
      </c>
    </row>
    <row r="76" spans="1:5">
      <c r="A76" t="str">
        <f>DuLieu_ThucTe_TPHCM!A76</f>
        <v>NT075</v>
      </c>
      <c r="B76">
        <f>(MAX(DuLieu_ThucTe_TPHCM!E$2:E$101)-DuLieu_ThucTe_TPHCM!E76)/(MAX(DuLieu_ThucTe_TPHCM!E$2:E$101)-MIN(DuLieu_ThucTe_TPHCM!E$2:E$101))</f>
        <v>0.7857142857142857</v>
      </c>
      <c r="C76">
        <f>(MAX(DuLieu_ThucTe_TPHCM!F$2:F$101)-DuLieu_ThucTe_TPHCM!F76)/(MAX(DuLieu_ThucTe_TPHCM!F$2:F$101)-MIN(DuLieu_ThucTe_TPHCM!F$2:F$101))</f>
        <v>0.42222222222222222</v>
      </c>
      <c r="D76">
        <f>(DuLieu_ThucTe_TPHCM!G76-MIN(DuLieu_ThucTe_TPHCM!G$2:G$101))/(MAX(DuLieu_ThucTe_TPHCM!G$2:G$101)-MIN(DuLieu_ThucTe_TPHCM!G$2:G$101))</f>
        <v>1</v>
      </c>
      <c r="E76">
        <f>(DuLieu_ThucTe_TPHCM!H76-MIN(DuLieu_ThucTe_TPHCM!H$2:H$101))/(MAX(DuLieu_ThucTe_TPHCM!H$2:H$101)-MIN(DuLieu_ThucTe_TPHCM!H$2:H$101))</f>
        <v>0</v>
      </c>
    </row>
    <row r="77" spans="1:5">
      <c r="A77" t="str">
        <f>DuLieu_ThucTe_TPHCM!A77</f>
        <v>NT076</v>
      </c>
      <c r="B77">
        <f>(MAX(DuLieu_ThucTe_TPHCM!E$2:E$101)-DuLieu_ThucTe_TPHCM!E77)/(MAX(DuLieu_ThucTe_TPHCM!E$2:E$101)-MIN(DuLieu_ThucTe_TPHCM!E$2:E$101))</f>
        <v>0.92857142857142871</v>
      </c>
      <c r="C77">
        <f>(MAX(DuLieu_ThucTe_TPHCM!F$2:F$101)-DuLieu_ThucTe_TPHCM!F77)/(MAX(DuLieu_ThucTe_TPHCM!F$2:F$101)-MIN(DuLieu_ThucTe_TPHCM!F$2:F$101))</f>
        <v>0.88888888888888884</v>
      </c>
      <c r="D77">
        <f>(DuLieu_ThucTe_TPHCM!G77-MIN(DuLieu_ThucTe_TPHCM!G$2:G$101))/(MAX(DuLieu_ThucTe_TPHCM!G$2:G$101)-MIN(DuLieu_ThucTe_TPHCM!G$2:G$101))</f>
        <v>0.75</v>
      </c>
      <c r="E77">
        <f>(DuLieu_ThucTe_TPHCM!H77-MIN(DuLieu_ThucTe_TPHCM!H$2:H$101))/(MAX(DuLieu_ThucTe_TPHCM!H$2:H$101)-MIN(DuLieu_ThucTe_TPHCM!H$2:H$101))</f>
        <v>1</v>
      </c>
    </row>
    <row r="78" spans="1:5">
      <c r="A78" t="str">
        <f>DuLieu_ThucTe_TPHCM!A78</f>
        <v>NT077</v>
      </c>
      <c r="B78">
        <f>(MAX(DuLieu_ThucTe_TPHCM!E$2:E$101)-DuLieu_ThucTe_TPHCM!E78)/(MAX(DuLieu_ThucTe_TPHCM!E$2:E$101)-MIN(DuLieu_ThucTe_TPHCM!E$2:E$101))</f>
        <v>0.32142857142857151</v>
      </c>
      <c r="C78">
        <f>(MAX(DuLieu_ThucTe_TPHCM!F$2:F$101)-DuLieu_ThucTe_TPHCM!F78)/(MAX(DuLieu_ThucTe_TPHCM!F$2:F$101)-MIN(DuLieu_ThucTe_TPHCM!F$2:F$101))</f>
        <v>0.37777777777777782</v>
      </c>
      <c r="D78">
        <f>(DuLieu_ThucTe_TPHCM!G78-MIN(DuLieu_ThucTe_TPHCM!G$2:G$101))/(MAX(DuLieu_ThucTe_TPHCM!G$2:G$101)-MIN(DuLieu_ThucTe_TPHCM!G$2:G$101))</f>
        <v>0.5</v>
      </c>
      <c r="E78">
        <f>(DuLieu_ThucTe_TPHCM!H78-MIN(DuLieu_ThucTe_TPHCM!H$2:H$101))/(MAX(DuLieu_ThucTe_TPHCM!H$2:H$101)-MIN(DuLieu_ThucTe_TPHCM!H$2:H$101))</f>
        <v>0.25</v>
      </c>
    </row>
    <row r="79" spans="1:5">
      <c r="A79" t="str">
        <f>DuLieu_ThucTe_TPHCM!A79</f>
        <v>NT078</v>
      </c>
      <c r="B79">
        <f>(MAX(DuLieu_ThucTe_TPHCM!E$2:E$101)-DuLieu_ThucTe_TPHCM!E79)/(MAX(DuLieu_ThucTe_TPHCM!E$2:E$101)-MIN(DuLieu_ThucTe_TPHCM!E$2:E$101))</f>
        <v>0.10714285714285739</v>
      </c>
      <c r="C79">
        <f>(MAX(DuLieu_ThucTe_TPHCM!F$2:F$101)-DuLieu_ThucTe_TPHCM!F79)/(MAX(DuLieu_ThucTe_TPHCM!F$2:F$101)-MIN(DuLieu_ThucTe_TPHCM!F$2:F$101))</f>
        <v>0.44444444444444442</v>
      </c>
      <c r="D79">
        <f>(DuLieu_ThucTe_TPHCM!G79-MIN(DuLieu_ThucTe_TPHCM!G$2:G$101))/(MAX(DuLieu_ThucTe_TPHCM!G$2:G$101)-MIN(DuLieu_ThucTe_TPHCM!G$2:G$101))</f>
        <v>0</v>
      </c>
      <c r="E79">
        <f>(DuLieu_ThucTe_TPHCM!H79-MIN(DuLieu_ThucTe_TPHCM!H$2:H$101))/(MAX(DuLieu_ThucTe_TPHCM!H$2:H$101)-MIN(DuLieu_ThucTe_TPHCM!H$2:H$101))</f>
        <v>0.5</v>
      </c>
    </row>
    <row r="80" spans="1:5">
      <c r="A80" t="str">
        <f>DuLieu_ThucTe_TPHCM!A80</f>
        <v>NT079</v>
      </c>
      <c r="B80">
        <f>(MAX(DuLieu_ThucTe_TPHCM!E$2:E$101)-DuLieu_ThucTe_TPHCM!E80)/(MAX(DuLieu_ThucTe_TPHCM!E$2:E$101)-MIN(DuLieu_ThucTe_TPHCM!E$2:E$101))</f>
        <v>0.9642857142857143</v>
      </c>
      <c r="C80">
        <f>(MAX(DuLieu_ThucTe_TPHCM!F$2:F$101)-DuLieu_ThucTe_TPHCM!F80)/(MAX(DuLieu_ThucTe_TPHCM!F$2:F$101)-MIN(DuLieu_ThucTe_TPHCM!F$2:F$101))</f>
        <v>0.35555555555555557</v>
      </c>
      <c r="D80">
        <f>(DuLieu_ThucTe_TPHCM!G80-MIN(DuLieu_ThucTe_TPHCM!G$2:G$101))/(MAX(DuLieu_ThucTe_TPHCM!G$2:G$101)-MIN(DuLieu_ThucTe_TPHCM!G$2:G$101))</f>
        <v>0.75</v>
      </c>
      <c r="E80">
        <f>(DuLieu_ThucTe_TPHCM!H80-MIN(DuLieu_ThucTe_TPHCM!H$2:H$101))/(MAX(DuLieu_ThucTe_TPHCM!H$2:H$101)-MIN(DuLieu_ThucTe_TPHCM!H$2:H$101))</f>
        <v>0</v>
      </c>
    </row>
    <row r="81" spans="1:5">
      <c r="A81" t="str">
        <f>DuLieu_ThucTe_TPHCM!A81</f>
        <v>NT080</v>
      </c>
      <c r="B81">
        <f>(MAX(DuLieu_ThucTe_TPHCM!E$2:E$101)-DuLieu_ThucTe_TPHCM!E81)/(MAX(DuLieu_ThucTe_TPHCM!E$2:E$101)-MIN(DuLieu_ThucTe_TPHCM!E$2:E$101))</f>
        <v>0.32142857142857151</v>
      </c>
      <c r="C81">
        <f>(MAX(DuLieu_ThucTe_TPHCM!F$2:F$101)-DuLieu_ThucTe_TPHCM!F81)/(MAX(DuLieu_ThucTe_TPHCM!F$2:F$101)-MIN(DuLieu_ThucTe_TPHCM!F$2:F$101))</f>
        <v>0.77777777777777779</v>
      </c>
      <c r="D81">
        <f>(DuLieu_ThucTe_TPHCM!G81-MIN(DuLieu_ThucTe_TPHCM!G$2:G$101))/(MAX(DuLieu_ThucTe_TPHCM!G$2:G$101)-MIN(DuLieu_ThucTe_TPHCM!G$2:G$101))</f>
        <v>0.75</v>
      </c>
      <c r="E81">
        <f>(DuLieu_ThucTe_TPHCM!H81-MIN(DuLieu_ThucTe_TPHCM!H$2:H$101))/(MAX(DuLieu_ThucTe_TPHCM!H$2:H$101)-MIN(DuLieu_ThucTe_TPHCM!H$2:H$101))</f>
        <v>0.25</v>
      </c>
    </row>
    <row r="82" spans="1:5">
      <c r="A82" t="str">
        <f>DuLieu_ThucTe_TPHCM!A82</f>
        <v>NT081</v>
      </c>
      <c r="B82">
        <f>(MAX(DuLieu_ThucTe_TPHCM!E$2:E$101)-DuLieu_ThucTe_TPHCM!E82)/(MAX(DuLieu_ThucTe_TPHCM!E$2:E$101)-MIN(DuLieu_ThucTe_TPHCM!E$2:E$101))</f>
        <v>0.14285714285714296</v>
      </c>
      <c r="C82">
        <f>(MAX(DuLieu_ThucTe_TPHCM!F$2:F$101)-DuLieu_ThucTe_TPHCM!F82)/(MAX(DuLieu_ThucTe_TPHCM!F$2:F$101)-MIN(DuLieu_ThucTe_TPHCM!F$2:F$101))</f>
        <v>0.60000000000000009</v>
      </c>
      <c r="D82">
        <f>(DuLieu_ThucTe_TPHCM!G82-MIN(DuLieu_ThucTe_TPHCM!G$2:G$101))/(MAX(DuLieu_ThucTe_TPHCM!G$2:G$101)-MIN(DuLieu_ThucTe_TPHCM!G$2:G$101))</f>
        <v>0</v>
      </c>
      <c r="E82">
        <f>(DuLieu_ThucTe_TPHCM!H82-MIN(DuLieu_ThucTe_TPHCM!H$2:H$101))/(MAX(DuLieu_ThucTe_TPHCM!H$2:H$101)-MIN(DuLieu_ThucTe_TPHCM!H$2:H$101))</f>
        <v>1</v>
      </c>
    </row>
    <row r="83" spans="1:5">
      <c r="A83" t="str">
        <f>DuLieu_ThucTe_TPHCM!A83</f>
        <v>NT082</v>
      </c>
      <c r="B83">
        <f>(MAX(DuLieu_ThucTe_TPHCM!E$2:E$101)-DuLieu_ThucTe_TPHCM!E83)/(MAX(DuLieu_ThucTe_TPHCM!E$2:E$101)-MIN(DuLieu_ThucTe_TPHCM!E$2:E$101))</f>
        <v>0</v>
      </c>
      <c r="C83">
        <f>(MAX(DuLieu_ThucTe_TPHCM!F$2:F$101)-DuLieu_ThucTe_TPHCM!F83)/(MAX(DuLieu_ThucTe_TPHCM!F$2:F$101)-MIN(DuLieu_ThucTe_TPHCM!F$2:F$101))</f>
        <v>0.53333333333333333</v>
      </c>
      <c r="D83">
        <f>(DuLieu_ThucTe_TPHCM!G83-MIN(DuLieu_ThucTe_TPHCM!G$2:G$101))/(MAX(DuLieu_ThucTe_TPHCM!G$2:G$101)-MIN(DuLieu_ThucTe_TPHCM!G$2:G$101))</f>
        <v>0</v>
      </c>
      <c r="E83">
        <f>(DuLieu_ThucTe_TPHCM!H83-MIN(DuLieu_ThucTe_TPHCM!H$2:H$101))/(MAX(DuLieu_ThucTe_TPHCM!H$2:H$101)-MIN(DuLieu_ThucTe_TPHCM!H$2:H$101))</f>
        <v>1</v>
      </c>
    </row>
    <row r="84" spans="1:5">
      <c r="A84" t="str">
        <f>DuLieu_ThucTe_TPHCM!A84</f>
        <v>NT083</v>
      </c>
      <c r="B84">
        <f>(MAX(DuLieu_ThucTe_TPHCM!E$2:E$101)-DuLieu_ThucTe_TPHCM!E84)/(MAX(DuLieu_ThucTe_TPHCM!E$2:E$101)-MIN(DuLieu_ThucTe_TPHCM!E$2:E$101))</f>
        <v>0.39285714285714302</v>
      </c>
      <c r="C84">
        <f>(MAX(DuLieu_ThucTe_TPHCM!F$2:F$101)-DuLieu_ThucTe_TPHCM!F84)/(MAX(DuLieu_ThucTe_TPHCM!F$2:F$101)-MIN(DuLieu_ThucTe_TPHCM!F$2:F$101))</f>
        <v>6.6666666666666624E-2</v>
      </c>
      <c r="D84">
        <f>(DuLieu_ThucTe_TPHCM!G84-MIN(DuLieu_ThucTe_TPHCM!G$2:G$101))/(MAX(DuLieu_ThucTe_TPHCM!G$2:G$101)-MIN(DuLieu_ThucTe_TPHCM!G$2:G$101))</f>
        <v>0.25</v>
      </c>
      <c r="E84">
        <f>(DuLieu_ThucTe_TPHCM!H84-MIN(DuLieu_ThucTe_TPHCM!H$2:H$101))/(MAX(DuLieu_ThucTe_TPHCM!H$2:H$101)-MIN(DuLieu_ThucTe_TPHCM!H$2:H$101))</f>
        <v>0.75</v>
      </c>
    </row>
    <row r="85" spans="1:5">
      <c r="A85" t="str">
        <f>DuLieu_ThucTe_TPHCM!A85</f>
        <v>NT084</v>
      </c>
      <c r="B85">
        <f>(MAX(DuLieu_ThucTe_TPHCM!E$2:E$101)-DuLieu_ThucTe_TPHCM!E85)/(MAX(DuLieu_ThucTe_TPHCM!E$2:E$101)-MIN(DuLieu_ThucTe_TPHCM!E$2:E$101))</f>
        <v>3.57142857142859E-2</v>
      </c>
      <c r="C85">
        <f>(MAX(DuLieu_ThucTe_TPHCM!F$2:F$101)-DuLieu_ThucTe_TPHCM!F85)/(MAX(DuLieu_ThucTe_TPHCM!F$2:F$101)-MIN(DuLieu_ThucTe_TPHCM!F$2:F$101))</f>
        <v>0.95555555555555549</v>
      </c>
      <c r="D85">
        <f>(DuLieu_ThucTe_TPHCM!G85-MIN(DuLieu_ThucTe_TPHCM!G$2:G$101))/(MAX(DuLieu_ThucTe_TPHCM!G$2:G$101)-MIN(DuLieu_ThucTe_TPHCM!G$2:G$101))</f>
        <v>0</v>
      </c>
      <c r="E85">
        <f>(DuLieu_ThucTe_TPHCM!H85-MIN(DuLieu_ThucTe_TPHCM!H$2:H$101))/(MAX(DuLieu_ThucTe_TPHCM!H$2:H$101)-MIN(DuLieu_ThucTe_TPHCM!H$2:H$101))</f>
        <v>0</v>
      </c>
    </row>
    <row r="86" spans="1:5">
      <c r="A86" t="str">
        <f>DuLieu_ThucTe_TPHCM!A86</f>
        <v>NT085</v>
      </c>
      <c r="B86">
        <f>(MAX(DuLieu_ThucTe_TPHCM!E$2:E$101)-DuLieu_ThucTe_TPHCM!E86)/(MAX(DuLieu_ThucTe_TPHCM!E$2:E$101)-MIN(DuLieu_ThucTe_TPHCM!E$2:E$101))</f>
        <v>0.6428571428571429</v>
      </c>
      <c r="C86">
        <f>(MAX(DuLieu_ThucTe_TPHCM!F$2:F$101)-DuLieu_ThucTe_TPHCM!F86)/(MAX(DuLieu_ThucTe_TPHCM!F$2:F$101)-MIN(DuLieu_ThucTe_TPHCM!F$2:F$101))</f>
        <v>0.31111111111111112</v>
      </c>
      <c r="D86">
        <f>(DuLieu_ThucTe_TPHCM!G86-MIN(DuLieu_ThucTe_TPHCM!G$2:G$101))/(MAX(DuLieu_ThucTe_TPHCM!G$2:G$101)-MIN(DuLieu_ThucTe_TPHCM!G$2:G$101))</f>
        <v>0.75</v>
      </c>
      <c r="E86">
        <f>(DuLieu_ThucTe_TPHCM!H86-MIN(DuLieu_ThucTe_TPHCM!H$2:H$101))/(MAX(DuLieu_ThucTe_TPHCM!H$2:H$101)-MIN(DuLieu_ThucTe_TPHCM!H$2:H$101))</f>
        <v>0.25</v>
      </c>
    </row>
    <row r="87" spans="1:5">
      <c r="A87" t="str">
        <f>DuLieu_ThucTe_TPHCM!A87</f>
        <v>NT086</v>
      </c>
      <c r="B87">
        <f>(MAX(DuLieu_ThucTe_TPHCM!E$2:E$101)-DuLieu_ThucTe_TPHCM!E87)/(MAX(DuLieu_ThucTe_TPHCM!E$2:E$101)-MIN(DuLieu_ThucTe_TPHCM!E$2:E$101))</f>
        <v>0.17857142857142855</v>
      </c>
      <c r="C87">
        <f>(MAX(DuLieu_ThucTe_TPHCM!F$2:F$101)-DuLieu_ThucTe_TPHCM!F87)/(MAX(DuLieu_ThucTe_TPHCM!F$2:F$101)-MIN(DuLieu_ThucTe_TPHCM!F$2:F$101))</f>
        <v>2.2222222222222143E-2</v>
      </c>
      <c r="D87">
        <f>(DuLieu_ThucTe_TPHCM!G87-MIN(DuLieu_ThucTe_TPHCM!G$2:G$101))/(MAX(DuLieu_ThucTe_TPHCM!G$2:G$101)-MIN(DuLieu_ThucTe_TPHCM!G$2:G$101))</f>
        <v>0.75</v>
      </c>
      <c r="E87">
        <f>(DuLieu_ThucTe_TPHCM!H87-MIN(DuLieu_ThucTe_TPHCM!H$2:H$101))/(MAX(DuLieu_ThucTe_TPHCM!H$2:H$101)-MIN(DuLieu_ThucTe_TPHCM!H$2:H$101))</f>
        <v>0.5</v>
      </c>
    </row>
    <row r="88" spans="1:5">
      <c r="A88" t="str">
        <f>DuLieu_ThucTe_TPHCM!A88</f>
        <v>NT087</v>
      </c>
      <c r="B88">
        <f>(MAX(DuLieu_ThucTe_TPHCM!E$2:E$101)-DuLieu_ThucTe_TPHCM!E88)/(MAX(DuLieu_ThucTe_TPHCM!E$2:E$101)-MIN(DuLieu_ThucTe_TPHCM!E$2:E$101))</f>
        <v>0.3571428571428571</v>
      </c>
      <c r="C88">
        <f>(MAX(DuLieu_ThucTe_TPHCM!F$2:F$101)-DuLieu_ThucTe_TPHCM!F88)/(MAX(DuLieu_ThucTe_TPHCM!F$2:F$101)-MIN(DuLieu_ThucTe_TPHCM!F$2:F$101))</f>
        <v>0.68888888888888888</v>
      </c>
      <c r="D88">
        <f>(DuLieu_ThucTe_TPHCM!G88-MIN(DuLieu_ThucTe_TPHCM!G$2:G$101))/(MAX(DuLieu_ThucTe_TPHCM!G$2:G$101)-MIN(DuLieu_ThucTe_TPHCM!G$2:G$101))</f>
        <v>0.5</v>
      </c>
      <c r="E88">
        <f>(DuLieu_ThucTe_TPHCM!H88-MIN(DuLieu_ThucTe_TPHCM!H$2:H$101))/(MAX(DuLieu_ThucTe_TPHCM!H$2:H$101)-MIN(DuLieu_ThucTe_TPHCM!H$2:H$101))</f>
        <v>0</v>
      </c>
    </row>
    <row r="89" spans="1:5">
      <c r="A89" t="str">
        <f>DuLieu_ThucTe_TPHCM!A89</f>
        <v>NT088</v>
      </c>
      <c r="B89">
        <f>(MAX(DuLieu_ThucTe_TPHCM!E$2:E$101)-DuLieu_ThucTe_TPHCM!E89)/(MAX(DuLieu_ThucTe_TPHCM!E$2:E$101)-MIN(DuLieu_ThucTe_TPHCM!E$2:E$101))</f>
        <v>0.53571428571428581</v>
      </c>
      <c r="C89">
        <f>(MAX(DuLieu_ThucTe_TPHCM!F$2:F$101)-DuLieu_ThucTe_TPHCM!F89)/(MAX(DuLieu_ThucTe_TPHCM!F$2:F$101)-MIN(DuLieu_ThucTe_TPHCM!F$2:F$101))</f>
        <v>0.55555555555555558</v>
      </c>
      <c r="D89">
        <f>(DuLieu_ThucTe_TPHCM!G89-MIN(DuLieu_ThucTe_TPHCM!G$2:G$101))/(MAX(DuLieu_ThucTe_TPHCM!G$2:G$101)-MIN(DuLieu_ThucTe_TPHCM!G$2:G$101))</f>
        <v>0</v>
      </c>
      <c r="E89">
        <f>(DuLieu_ThucTe_TPHCM!H89-MIN(DuLieu_ThucTe_TPHCM!H$2:H$101))/(MAX(DuLieu_ThucTe_TPHCM!H$2:H$101)-MIN(DuLieu_ThucTe_TPHCM!H$2:H$101))</f>
        <v>0.5</v>
      </c>
    </row>
    <row r="90" spans="1:5">
      <c r="A90" t="str">
        <f>DuLieu_ThucTe_TPHCM!A90</f>
        <v>NT089</v>
      </c>
      <c r="B90">
        <f>(MAX(DuLieu_ThucTe_TPHCM!E$2:E$101)-DuLieu_ThucTe_TPHCM!E90)/(MAX(DuLieu_ThucTe_TPHCM!E$2:E$101)-MIN(DuLieu_ThucTe_TPHCM!E$2:E$101))</f>
        <v>0.75000000000000011</v>
      </c>
      <c r="C90">
        <f>(MAX(DuLieu_ThucTe_TPHCM!F$2:F$101)-DuLieu_ThucTe_TPHCM!F90)/(MAX(DuLieu_ThucTe_TPHCM!F$2:F$101)-MIN(DuLieu_ThucTe_TPHCM!F$2:F$101))</f>
        <v>0.1111111111111111</v>
      </c>
      <c r="D90">
        <f>(DuLieu_ThucTe_TPHCM!G90-MIN(DuLieu_ThucTe_TPHCM!G$2:G$101))/(MAX(DuLieu_ThucTe_TPHCM!G$2:G$101)-MIN(DuLieu_ThucTe_TPHCM!G$2:G$101))</f>
        <v>1</v>
      </c>
      <c r="E90">
        <f>(DuLieu_ThucTe_TPHCM!H90-MIN(DuLieu_ThucTe_TPHCM!H$2:H$101))/(MAX(DuLieu_ThucTe_TPHCM!H$2:H$101)-MIN(DuLieu_ThucTe_TPHCM!H$2:H$101))</f>
        <v>1</v>
      </c>
    </row>
    <row r="91" spans="1:5">
      <c r="A91" t="str">
        <f>DuLieu_ThucTe_TPHCM!A91</f>
        <v>NT090</v>
      </c>
      <c r="B91">
        <f>(MAX(DuLieu_ThucTe_TPHCM!E$2:E$101)-DuLieu_ThucTe_TPHCM!E91)/(MAX(DuLieu_ThucTe_TPHCM!E$2:E$101)-MIN(DuLieu_ThucTe_TPHCM!E$2:E$101))</f>
        <v>7.142857142857148E-2</v>
      </c>
      <c r="C91">
        <f>(MAX(DuLieu_ThucTe_TPHCM!F$2:F$101)-DuLieu_ThucTe_TPHCM!F91)/(MAX(DuLieu_ThucTe_TPHCM!F$2:F$101)-MIN(DuLieu_ThucTe_TPHCM!F$2:F$101))</f>
        <v>0.66666666666666663</v>
      </c>
      <c r="D91">
        <f>(DuLieu_ThucTe_TPHCM!G91-MIN(DuLieu_ThucTe_TPHCM!G$2:G$101))/(MAX(DuLieu_ThucTe_TPHCM!G$2:G$101)-MIN(DuLieu_ThucTe_TPHCM!G$2:G$101))</f>
        <v>0.5</v>
      </c>
      <c r="E91">
        <f>(DuLieu_ThucTe_TPHCM!H91-MIN(DuLieu_ThucTe_TPHCM!H$2:H$101))/(MAX(DuLieu_ThucTe_TPHCM!H$2:H$101)-MIN(DuLieu_ThucTe_TPHCM!H$2:H$101))</f>
        <v>0.25</v>
      </c>
    </row>
    <row r="92" spans="1:5">
      <c r="A92" t="str">
        <f>DuLieu_ThucTe_TPHCM!A92</f>
        <v>NT091</v>
      </c>
      <c r="B92">
        <f>(MAX(DuLieu_ThucTe_TPHCM!E$2:E$101)-DuLieu_ThucTe_TPHCM!E92)/(MAX(DuLieu_ThucTe_TPHCM!E$2:E$101)-MIN(DuLieu_ThucTe_TPHCM!E$2:E$101))</f>
        <v>0.75000000000000011</v>
      </c>
      <c r="C92">
        <f>(MAX(DuLieu_ThucTe_TPHCM!F$2:F$101)-DuLieu_ThucTe_TPHCM!F92)/(MAX(DuLieu_ThucTe_TPHCM!F$2:F$101)-MIN(DuLieu_ThucTe_TPHCM!F$2:F$101))</f>
        <v>0.95555555555555549</v>
      </c>
      <c r="D92">
        <f>(DuLieu_ThucTe_TPHCM!G92-MIN(DuLieu_ThucTe_TPHCM!G$2:G$101))/(MAX(DuLieu_ThucTe_TPHCM!G$2:G$101)-MIN(DuLieu_ThucTe_TPHCM!G$2:G$101))</f>
        <v>1</v>
      </c>
      <c r="E92">
        <f>(DuLieu_ThucTe_TPHCM!H92-MIN(DuLieu_ThucTe_TPHCM!H$2:H$101))/(MAX(DuLieu_ThucTe_TPHCM!H$2:H$101)-MIN(DuLieu_ThucTe_TPHCM!H$2:H$101))</f>
        <v>1</v>
      </c>
    </row>
    <row r="93" spans="1:5">
      <c r="A93" t="str">
        <f>DuLieu_ThucTe_TPHCM!A93</f>
        <v>NT092</v>
      </c>
      <c r="B93">
        <f>(MAX(DuLieu_ThucTe_TPHCM!E$2:E$101)-DuLieu_ThucTe_TPHCM!E93)/(MAX(DuLieu_ThucTe_TPHCM!E$2:E$101)-MIN(DuLieu_ThucTe_TPHCM!E$2:E$101))</f>
        <v>0.39285714285714302</v>
      </c>
      <c r="C93">
        <f>(MAX(DuLieu_ThucTe_TPHCM!F$2:F$101)-DuLieu_ThucTe_TPHCM!F93)/(MAX(DuLieu_ThucTe_TPHCM!F$2:F$101)-MIN(DuLieu_ThucTe_TPHCM!F$2:F$101))</f>
        <v>0.97777777777777786</v>
      </c>
      <c r="D93">
        <f>(DuLieu_ThucTe_TPHCM!G93-MIN(DuLieu_ThucTe_TPHCM!G$2:G$101))/(MAX(DuLieu_ThucTe_TPHCM!G$2:G$101)-MIN(DuLieu_ThucTe_TPHCM!G$2:G$101))</f>
        <v>0</v>
      </c>
      <c r="E93">
        <f>(DuLieu_ThucTe_TPHCM!H93-MIN(DuLieu_ThucTe_TPHCM!H$2:H$101))/(MAX(DuLieu_ThucTe_TPHCM!H$2:H$101)-MIN(DuLieu_ThucTe_TPHCM!H$2:H$101))</f>
        <v>0.25</v>
      </c>
    </row>
    <row r="94" spans="1:5">
      <c r="A94" t="str">
        <f>DuLieu_ThucTe_TPHCM!A94</f>
        <v>NT093</v>
      </c>
      <c r="B94">
        <f>(MAX(DuLieu_ThucTe_TPHCM!E$2:E$101)-DuLieu_ThucTe_TPHCM!E94)/(MAX(DuLieu_ThucTe_TPHCM!E$2:E$101)-MIN(DuLieu_ThucTe_TPHCM!E$2:E$101))</f>
        <v>3.57142857142859E-2</v>
      </c>
      <c r="C94">
        <f>(MAX(DuLieu_ThucTe_TPHCM!F$2:F$101)-DuLieu_ThucTe_TPHCM!F94)/(MAX(DuLieu_ThucTe_TPHCM!F$2:F$101)-MIN(DuLieu_ThucTe_TPHCM!F$2:F$101))</f>
        <v>0.8666666666666667</v>
      </c>
      <c r="D94">
        <f>(DuLieu_ThucTe_TPHCM!G94-MIN(DuLieu_ThucTe_TPHCM!G$2:G$101))/(MAX(DuLieu_ThucTe_TPHCM!G$2:G$101)-MIN(DuLieu_ThucTe_TPHCM!G$2:G$101))</f>
        <v>0</v>
      </c>
      <c r="E94">
        <f>(DuLieu_ThucTe_TPHCM!H94-MIN(DuLieu_ThucTe_TPHCM!H$2:H$101))/(MAX(DuLieu_ThucTe_TPHCM!H$2:H$101)-MIN(DuLieu_ThucTe_TPHCM!H$2:H$101))</f>
        <v>0.5</v>
      </c>
    </row>
    <row r="95" spans="1:5">
      <c r="A95" t="str">
        <f>DuLieu_ThucTe_TPHCM!A95</f>
        <v>NT094</v>
      </c>
      <c r="B95">
        <f>(MAX(DuLieu_ThucTe_TPHCM!E$2:E$101)-DuLieu_ThucTe_TPHCM!E95)/(MAX(DuLieu_ThucTe_TPHCM!E$2:E$101)-MIN(DuLieu_ThucTe_TPHCM!E$2:E$101))</f>
        <v>0.17857142857142855</v>
      </c>
      <c r="C95">
        <f>(MAX(DuLieu_ThucTe_TPHCM!F$2:F$101)-DuLieu_ThucTe_TPHCM!F95)/(MAX(DuLieu_ThucTe_TPHCM!F$2:F$101)-MIN(DuLieu_ThucTe_TPHCM!F$2:F$101))</f>
        <v>0.88888888888888884</v>
      </c>
      <c r="D95">
        <f>(DuLieu_ThucTe_TPHCM!G95-MIN(DuLieu_ThucTe_TPHCM!G$2:G$101))/(MAX(DuLieu_ThucTe_TPHCM!G$2:G$101)-MIN(DuLieu_ThucTe_TPHCM!G$2:G$101))</f>
        <v>0.25</v>
      </c>
      <c r="E95">
        <f>(DuLieu_ThucTe_TPHCM!H95-MIN(DuLieu_ThucTe_TPHCM!H$2:H$101))/(MAX(DuLieu_ThucTe_TPHCM!H$2:H$101)-MIN(DuLieu_ThucTe_TPHCM!H$2:H$101))</f>
        <v>0.25</v>
      </c>
    </row>
    <row r="96" spans="1:5">
      <c r="A96" t="str">
        <f>DuLieu_ThucTe_TPHCM!A96</f>
        <v>NT095</v>
      </c>
      <c r="B96">
        <f>(MAX(DuLieu_ThucTe_TPHCM!E$2:E$101)-DuLieu_ThucTe_TPHCM!E96)/(MAX(DuLieu_ThucTe_TPHCM!E$2:E$101)-MIN(DuLieu_ThucTe_TPHCM!E$2:E$101))</f>
        <v>0.9642857142857143</v>
      </c>
      <c r="C96">
        <f>(MAX(DuLieu_ThucTe_TPHCM!F$2:F$101)-DuLieu_ThucTe_TPHCM!F96)/(MAX(DuLieu_ThucTe_TPHCM!F$2:F$101)-MIN(DuLieu_ThucTe_TPHCM!F$2:F$101))</f>
        <v>0.22222222222222221</v>
      </c>
      <c r="D96">
        <f>(DuLieu_ThucTe_TPHCM!G96-MIN(DuLieu_ThucTe_TPHCM!G$2:G$101))/(MAX(DuLieu_ThucTe_TPHCM!G$2:G$101)-MIN(DuLieu_ThucTe_TPHCM!G$2:G$101))</f>
        <v>0.75</v>
      </c>
      <c r="E96">
        <f>(DuLieu_ThucTe_TPHCM!H96-MIN(DuLieu_ThucTe_TPHCM!H$2:H$101))/(MAX(DuLieu_ThucTe_TPHCM!H$2:H$101)-MIN(DuLieu_ThucTe_TPHCM!H$2:H$101))</f>
        <v>0.5</v>
      </c>
    </row>
    <row r="97" spans="1:5">
      <c r="A97" t="str">
        <f>DuLieu_ThucTe_TPHCM!A97</f>
        <v>NT096</v>
      </c>
      <c r="B97">
        <f>(MAX(DuLieu_ThucTe_TPHCM!E$2:E$101)-DuLieu_ThucTe_TPHCM!E97)/(MAX(DuLieu_ThucTe_TPHCM!E$2:E$101)-MIN(DuLieu_ThucTe_TPHCM!E$2:E$101))</f>
        <v>3.57142857142859E-2</v>
      </c>
      <c r="C97">
        <f>(MAX(DuLieu_ThucTe_TPHCM!F$2:F$101)-DuLieu_ThucTe_TPHCM!F97)/(MAX(DuLieu_ThucTe_TPHCM!F$2:F$101)-MIN(DuLieu_ThucTe_TPHCM!F$2:F$101))</f>
        <v>0.26666666666666672</v>
      </c>
      <c r="D97">
        <f>(DuLieu_ThucTe_TPHCM!G97-MIN(DuLieu_ThucTe_TPHCM!G$2:G$101))/(MAX(DuLieu_ThucTe_TPHCM!G$2:G$101)-MIN(DuLieu_ThucTe_TPHCM!G$2:G$101))</f>
        <v>0.75</v>
      </c>
      <c r="E97">
        <f>(DuLieu_ThucTe_TPHCM!H97-MIN(DuLieu_ThucTe_TPHCM!H$2:H$101))/(MAX(DuLieu_ThucTe_TPHCM!H$2:H$101)-MIN(DuLieu_ThucTe_TPHCM!H$2:H$101))</f>
        <v>0.5</v>
      </c>
    </row>
    <row r="98" spans="1:5">
      <c r="A98" t="str">
        <f>DuLieu_ThucTe_TPHCM!A98</f>
        <v>NT097</v>
      </c>
      <c r="B98">
        <f>(MAX(DuLieu_ThucTe_TPHCM!E$2:E$101)-DuLieu_ThucTe_TPHCM!E98)/(MAX(DuLieu_ThucTe_TPHCM!E$2:E$101)-MIN(DuLieu_ThucTe_TPHCM!E$2:E$101))</f>
        <v>0.92857142857142871</v>
      </c>
      <c r="C98">
        <f>(MAX(DuLieu_ThucTe_TPHCM!F$2:F$101)-DuLieu_ThucTe_TPHCM!F98)/(MAX(DuLieu_ThucTe_TPHCM!F$2:F$101)-MIN(DuLieu_ThucTe_TPHCM!F$2:F$101))</f>
        <v>0.42222222222222222</v>
      </c>
      <c r="D98">
        <f>(DuLieu_ThucTe_TPHCM!G98-MIN(DuLieu_ThucTe_TPHCM!G$2:G$101))/(MAX(DuLieu_ThucTe_TPHCM!G$2:G$101)-MIN(DuLieu_ThucTe_TPHCM!G$2:G$101))</f>
        <v>0.5</v>
      </c>
      <c r="E98">
        <f>(DuLieu_ThucTe_TPHCM!H98-MIN(DuLieu_ThucTe_TPHCM!H$2:H$101))/(MAX(DuLieu_ThucTe_TPHCM!H$2:H$101)-MIN(DuLieu_ThucTe_TPHCM!H$2:H$101))</f>
        <v>0.25</v>
      </c>
    </row>
    <row r="99" spans="1:5">
      <c r="A99" t="str">
        <f>DuLieu_ThucTe_TPHCM!A99</f>
        <v>NT098</v>
      </c>
      <c r="B99">
        <f>(MAX(DuLieu_ThucTe_TPHCM!E$2:E$101)-DuLieu_ThucTe_TPHCM!E99)/(MAX(DuLieu_ThucTe_TPHCM!E$2:E$101)-MIN(DuLieu_ThucTe_TPHCM!E$2:E$101))</f>
        <v>0.92857142857142871</v>
      </c>
      <c r="C99">
        <f>(MAX(DuLieu_ThucTe_TPHCM!F$2:F$101)-DuLieu_ThucTe_TPHCM!F99)/(MAX(DuLieu_ThucTe_TPHCM!F$2:F$101)-MIN(DuLieu_ThucTe_TPHCM!F$2:F$101))</f>
        <v>0.55555555555555558</v>
      </c>
      <c r="D99">
        <f>(DuLieu_ThucTe_TPHCM!G99-MIN(DuLieu_ThucTe_TPHCM!G$2:G$101))/(MAX(DuLieu_ThucTe_TPHCM!G$2:G$101)-MIN(DuLieu_ThucTe_TPHCM!G$2:G$101))</f>
        <v>0.75</v>
      </c>
      <c r="E99">
        <f>(DuLieu_ThucTe_TPHCM!H99-MIN(DuLieu_ThucTe_TPHCM!H$2:H$101))/(MAX(DuLieu_ThucTe_TPHCM!H$2:H$101)-MIN(DuLieu_ThucTe_TPHCM!H$2:H$101))</f>
        <v>1</v>
      </c>
    </row>
    <row r="100" spans="1:5">
      <c r="A100" t="str">
        <f>DuLieu_ThucTe_TPHCM!A100</f>
        <v>NT099</v>
      </c>
      <c r="B100">
        <f>(MAX(DuLieu_ThucTe_TPHCM!E$2:E$101)-DuLieu_ThucTe_TPHCM!E100)/(MAX(DuLieu_ThucTe_TPHCM!E$2:E$101)-MIN(DuLieu_ThucTe_TPHCM!E$2:E$101))</f>
        <v>1</v>
      </c>
      <c r="C100">
        <f>(MAX(DuLieu_ThucTe_TPHCM!F$2:F$101)-DuLieu_ThucTe_TPHCM!F100)/(MAX(DuLieu_ThucTe_TPHCM!F$2:F$101)-MIN(DuLieu_ThucTe_TPHCM!F$2:F$101))</f>
        <v>0.42222222222222222</v>
      </c>
      <c r="D100">
        <f>(DuLieu_ThucTe_TPHCM!G100-MIN(DuLieu_ThucTe_TPHCM!G$2:G$101))/(MAX(DuLieu_ThucTe_TPHCM!G$2:G$101)-MIN(DuLieu_ThucTe_TPHCM!G$2:G$101))</f>
        <v>0.75</v>
      </c>
      <c r="E100">
        <f>(DuLieu_ThucTe_TPHCM!H100-MIN(DuLieu_ThucTe_TPHCM!H$2:H$101))/(MAX(DuLieu_ThucTe_TPHCM!H$2:H$101)-MIN(DuLieu_ThucTe_TPHCM!H$2:H$101))</f>
        <v>0.75</v>
      </c>
    </row>
    <row r="101" spans="1:5">
      <c r="A101" t="str">
        <f>DuLieu_ThucTe_TPHCM!A101</f>
        <v>NT100</v>
      </c>
      <c r="B101">
        <f>(MAX(DuLieu_ThucTe_TPHCM!E$2:E$101)-DuLieu_ThucTe_TPHCM!E101)/(MAX(DuLieu_ThucTe_TPHCM!E$2:E$101)-MIN(DuLieu_ThucTe_TPHCM!E$2:E$101))</f>
        <v>0.6071428571428571</v>
      </c>
      <c r="C101">
        <f>(MAX(DuLieu_ThucTe_TPHCM!F$2:F$101)-DuLieu_ThucTe_TPHCM!F101)/(MAX(DuLieu_ThucTe_TPHCM!F$2:F$101)-MIN(DuLieu_ThucTe_TPHCM!F$2:F$101))</f>
        <v>0.51111111111111107</v>
      </c>
      <c r="D101">
        <f>(DuLieu_ThucTe_TPHCM!G101-MIN(DuLieu_ThucTe_TPHCM!G$2:G$101))/(MAX(DuLieu_ThucTe_TPHCM!G$2:G$101)-MIN(DuLieu_ThucTe_TPHCM!G$2:G$101))</f>
        <v>0.5</v>
      </c>
      <c r="E101">
        <f>(DuLieu_ThucTe_TPHCM!H101-MIN(DuLieu_ThucTe_TPHCM!H$2:H$101))/(MAX(DuLieu_ThucTe_TPHCM!H$2:H$101)-MIN(DuLieu_ThucTe_TPHCM!H$2:H$101))</f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>
      <selection activeCell="C8" sqref="C8"/>
    </sheetView>
  </sheetViews>
  <sheetFormatPr defaultColWidth="9" defaultRowHeight="14.5"/>
  <cols>
    <col min="2" max="2" width="12.81640625"/>
  </cols>
  <sheetData>
    <row r="1" spans="1:2">
      <c r="A1" t="s">
        <v>9</v>
      </c>
      <c r="B1" t="s">
        <v>222</v>
      </c>
    </row>
    <row r="2" spans="1:2">
      <c r="A2" t="str">
        <f>ChuanHoa_DuLieu!A2</f>
        <v>NT001</v>
      </c>
      <c r="B2" cm="1">
        <f t="array" ref="B2">SUMPRODUCT(ChuanHoa_DuLieu!B2:E2,TRANSPOSE(Criteria_Weights!$B$2:$B$5))</f>
        <v>0.7223509858488848</v>
      </c>
    </row>
    <row r="3" spans="1:2">
      <c r="A3" t="str">
        <f>ChuanHoa_DuLieu!A3</f>
        <v>NT002</v>
      </c>
      <c r="B3" cm="1">
        <f t="array" ref="B3">SUMPRODUCT(ChuanHoa_DuLieu!B3:E3,TRANSPOSE(Criteria_Weights!$B$2:$B$5))</f>
        <v>0.60118149532540266</v>
      </c>
    </row>
    <row r="4" spans="1:2">
      <c r="A4" t="str">
        <f>ChuanHoa_DuLieu!A4</f>
        <v>NT003</v>
      </c>
      <c r="B4" cm="1">
        <f t="array" ref="B4">SUMPRODUCT(ChuanHoa_DuLieu!B4:E4,TRANSPOSE(Criteria_Weights!$B$2:$B$5))</f>
        <v>0.18663647277092649</v>
      </c>
    </row>
    <row r="5" spans="1:2">
      <c r="A5" t="str">
        <f>ChuanHoa_DuLieu!A5</f>
        <v>NT004</v>
      </c>
      <c r="B5" cm="1">
        <f t="array" ref="B5">SUMPRODUCT(ChuanHoa_DuLieu!B5:E5,TRANSPOSE(Criteria_Weights!$B$2:$B$5))</f>
        <v>0.84368184773909527</v>
      </c>
    </row>
    <row r="6" spans="1:2">
      <c r="A6" t="str">
        <f>ChuanHoa_DuLieu!A6</f>
        <v>NT005</v>
      </c>
      <c r="B6" cm="1">
        <f t="array" ref="B6">SUMPRODUCT(ChuanHoa_DuLieu!B6:E6,TRANSPOSE(Criteria_Weights!$B$2:$B$5))</f>
        <v>0.53087598675833947</v>
      </c>
    </row>
    <row r="7" spans="1:2">
      <c r="A7" t="str">
        <f>ChuanHoa_DuLieu!A7</f>
        <v>NT006</v>
      </c>
      <c r="B7" cm="1">
        <f t="array" ref="B7">SUMPRODUCT(ChuanHoa_DuLieu!B7:E7,TRANSPOSE(Criteria_Weights!$B$2:$B$5))</f>
        <v>0.35995710784313723</v>
      </c>
    </row>
    <row r="8" spans="1:2">
      <c r="A8" t="str">
        <f>ChuanHoa_DuLieu!A8</f>
        <v>NT007</v>
      </c>
      <c r="B8" cm="1">
        <f t="array" ref="B8">SUMPRODUCT(ChuanHoa_DuLieu!B8:E8,TRANSPOSE(Criteria_Weights!$B$2:$B$5))</f>
        <v>0.64511401151369607</v>
      </c>
    </row>
    <row r="9" spans="1:2">
      <c r="A9" t="str">
        <f>ChuanHoa_DuLieu!A9</f>
        <v>NT008</v>
      </c>
      <c r="B9" cm="1">
        <f t="array" ref="B9">SUMPRODUCT(ChuanHoa_DuLieu!B9:E9,TRANSPOSE(Criteria_Weights!$B$2:$B$5))</f>
        <v>0.16550415620793774</v>
      </c>
    </row>
    <row r="10" spans="1:2">
      <c r="A10" t="str">
        <f>ChuanHoa_DuLieu!A10</f>
        <v>NT009</v>
      </c>
      <c r="B10" cm="1">
        <f t="array" ref="B10">SUMPRODUCT(ChuanHoa_DuLieu!B10:E10,TRANSPOSE(Criteria_Weights!$B$2:$B$5))</f>
        <v>0.31892427425515624</v>
      </c>
    </row>
    <row r="11" spans="1:2">
      <c r="A11" t="str">
        <f>ChuanHoa_DuLieu!A11</f>
        <v>NT010</v>
      </c>
      <c r="B11" cm="1">
        <f t="array" ref="B11">SUMPRODUCT(ChuanHoa_DuLieu!B11:E11,TRANSPOSE(Criteria_Weights!$B$2:$B$5))</f>
        <v>0.38482603268580168</v>
      </c>
    </row>
    <row r="12" spans="1:2">
      <c r="A12" t="str">
        <f>ChuanHoa_DuLieu!A12</f>
        <v>NT011</v>
      </c>
      <c r="B12" cm="1">
        <f t="array" ref="B12">SUMPRODUCT(ChuanHoa_DuLieu!B12:E12,TRANSPOSE(Criteria_Weights!$B$2:$B$5))</f>
        <v>0.28873287951544246</v>
      </c>
    </row>
    <row r="13" spans="1:2">
      <c r="A13" t="str">
        <f>ChuanHoa_DuLieu!A13</f>
        <v>NT012</v>
      </c>
      <c r="B13" cm="1">
        <f t="array" ref="B13">SUMPRODUCT(ChuanHoa_DuLieu!B13:E13,TRANSPOSE(Criteria_Weights!$B$2:$B$5))</f>
        <v>0.31083069591472939</v>
      </c>
    </row>
    <row r="14" spans="1:2">
      <c r="A14" t="str">
        <f>ChuanHoa_DuLieu!A14</f>
        <v>NT013</v>
      </c>
      <c r="B14" cm="1">
        <f t="array" ref="B14">SUMPRODUCT(ChuanHoa_DuLieu!B14:E14,TRANSPOSE(Criteria_Weights!$B$2:$B$5))</f>
        <v>0.64446790079668215</v>
      </c>
    </row>
    <row r="15" spans="1:2">
      <c r="A15" t="str">
        <f>ChuanHoa_DuLieu!A15</f>
        <v>NT014</v>
      </c>
      <c r="B15" cm="1">
        <f t="array" ref="B15">SUMPRODUCT(ChuanHoa_DuLieu!B15:E15,TRANSPOSE(Criteria_Weights!$B$2:$B$5))</f>
        <v>0.23702935719742424</v>
      </c>
    </row>
    <row r="16" spans="1:2">
      <c r="A16" t="str">
        <f>ChuanHoa_DuLieu!A16</f>
        <v>NT015</v>
      </c>
      <c r="B16" cm="1">
        <f t="array" ref="B16">SUMPRODUCT(ChuanHoa_DuLieu!B16:E16,TRANSPOSE(Criteria_Weights!$B$2:$B$5))</f>
        <v>0.74995577776565137</v>
      </c>
    </row>
    <row r="17" spans="1:2">
      <c r="A17" t="str">
        <f>ChuanHoa_DuLieu!A17</f>
        <v>NT016</v>
      </c>
      <c r="B17" cm="1">
        <f t="array" ref="B17">SUMPRODUCT(ChuanHoa_DuLieu!B17:E17,TRANSPOSE(Criteria_Weights!$B$2:$B$5))</f>
        <v>0.52042481765433424</v>
      </c>
    </row>
    <row r="18" spans="1:2">
      <c r="A18" t="str">
        <f>ChuanHoa_DuLieu!A18</f>
        <v>NT017</v>
      </c>
      <c r="B18" cm="1">
        <f t="array" ref="B18">SUMPRODUCT(ChuanHoa_DuLieu!B18:E18,TRANSPOSE(Criteria_Weights!$B$2:$B$5))</f>
        <v>0.45488945578231299</v>
      </c>
    </row>
    <row r="19" spans="1:2">
      <c r="A19" t="str">
        <f>ChuanHoa_DuLieu!A19</f>
        <v>NT018</v>
      </c>
      <c r="B19" cm="1">
        <f t="array" ref="B19">SUMPRODUCT(ChuanHoa_DuLieu!B19:E19,TRANSPOSE(Criteria_Weights!$B$2:$B$5))</f>
        <v>0.55428444104914665</v>
      </c>
    </row>
    <row r="20" spans="1:2">
      <c r="A20" t="str">
        <f>ChuanHoa_DuLieu!A20</f>
        <v>NT019</v>
      </c>
      <c r="B20" cm="1">
        <f t="array" ref="B20">SUMPRODUCT(ChuanHoa_DuLieu!B20:E20,TRANSPOSE(Criteria_Weights!$B$2:$B$5))</f>
        <v>0.64259578831532582</v>
      </c>
    </row>
    <row r="21" spans="1:2">
      <c r="A21" t="str">
        <f>ChuanHoa_DuLieu!A21</f>
        <v>NT020</v>
      </c>
      <c r="B21" cm="1">
        <f t="array" ref="B21">SUMPRODUCT(ChuanHoa_DuLieu!B21:E21,TRANSPOSE(Criteria_Weights!$B$2:$B$5))</f>
        <v>0.61753025073665802</v>
      </c>
    </row>
    <row r="22" spans="1:2">
      <c r="A22" t="str">
        <f>ChuanHoa_DuLieu!A22</f>
        <v>NT021</v>
      </c>
      <c r="B22" cm="1">
        <f t="array" ref="B22">SUMPRODUCT(ChuanHoa_DuLieu!B22:E22,TRANSPOSE(Criteria_Weights!$B$2:$B$5))</f>
        <v>0.50554863991050936</v>
      </c>
    </row>
    <row r="23" spans="1:2">
      <c r="A23" t="str">
        <f>ChuanHoa_DuLieu!A23</f>
        <v>NT022</v>
      </c>
      <c r="B23" cm="1">
        <f t="array" ref="B23">SUMPRODUCT(ChuanHoa_DuLieu!B23:E23,TRANSPOSE(Criteria_Weights!$B$2:$B$5))</f>
        <v>0.40456756566262847</v>
      </c>
    </row>
    <row r="24" spans="1:2">
      <c r="A24" t="str">
        <f>ChuanHoa_DuLieu!A24</f>
        <v>NT023</v>
      </c>
      <c r="B24" cm="1">
        <f t="array" ref="B24">SUMPRODUCT(ChuanHoa_DuLieu!B24:E24,TRANSPOSE(Criteria_Weights!$B$2:$B$5))</f>
        <v>0.40931645385426851</v>
      </c>
    </row>
    <row r="25" spans="1:2">
      <c r="A25" t="str">
        <f>ChuanHoa_DuLieu!A25</f>
        <v>NT024</v>
      </c>
      <c r="B25" cm="1">
        <f t="array" ref="B25">SUMPRODUCT(ChuanHoa_DuLieu!B25:E25,TRANSPOSE(Criteria_Weights!$B$2:$B$5))</f>
        <v>0.34898970952017128</v>
      </c>
    </row>
    <row r="26" spans="1:2">
      <c r="A26" t="str">
        <f>ChuanHoa_DuLieu!A26</f>
        <v>NT025</v>
      </c>
      <c r="B26" cm="1">
        <f t="array" ref="B26">SUMPRODUCT(ChuanHoa_DuLieu!B26:E26,TRANSPOSE(Criteria_Weights!$B$2:$B$5))</f>
        <v>0.77607776064971423</v>
      </c>
    </row>
    <row r="27" spans="1:2">
      <c r="A27" t="str">
        <f>ChuanHoa_DuLieu!A27</f>
        <v>NT026</v>
      </c>
      <c r="B27" cm="1">
        <f t="array" ref="B27">SUMPRODUCT(ChuanHoa_DuLieu!B27:E27,TRANSPOSE(Criteria_Weights!$B$2:$B$5))</f>
        <v>0.66841810587871486</v>
      </c>
    </row>
    <row r="28" spans="1:2">
      <c r="A28" t="str">
        <f>ChuanHoa_DuLieu!A28</f>
        <v>NT027</v>
      </c>
      <c r="B28" cm="1">
        <f t="array" ref="B28">SUMPRODUCT(ChuanHoa_DuLieu!B28:E28,TRANSPOSE(Criteria_Weights!$B$2:$B$5))</f>
        <v>0.67630427170868335</v>
      </c>
    </row>
    <row r="29" spans="1:2">
      <c r="A29" t="str">
        <f>ChuanHoa_DuLieu!A29</f>
        <v>NT028</v>
      </c>
      <c r="B29" cm="1">
        <f t="array" ref="B29">SUMPRODUCT(ChuanHoa_DuLieu!B29:E29,TRANSPOSE(Criteria_Weights!$B$2:$B$5))</f>
        <v>0.83077003528684179</v>
      </c>
    </row>
    <row r="30" spans="1:2">
      <c r="A30" t="str">
        <f>ChuanHoa_DuLieu!A30</f>
        <v>NT029</v>
      </c>
      <c r="B30" cm="1">
        <f t="array" ref="B30">SUMPRODUCT(ChuanHoa_DuLieu!B30:E30,TRANSPOSE(Criteria_Weights!$B$2:$B$5))</f>
        <v>0.49473891829459055</v>
      </c>
    </row>
    <row r="31" spans="1:2">
      <c r="A31" t="str">
        <f>ChuanHoa_DuLieu!A31</f>
        <v>NT030</v>
      </c>
      <c r="B31" cm="1">
        <f t="array" ref="B31">SUMPRODUCT(ChuanHoa_DuLieu!B31:E31,TRANSPOSE(Criteria_Weights!$B$2:$B$5))</f>
        <v>0.59945660082214702</v>
      </c>
    </row>
    <row r="32" spans="1:2">
      <c r="A32" t="str">
        <f>ChuanHoa_DuLieu!A32</f>
        <v>NT031</v>
      </c>
      <c r="B32" cm="1">
        <f t="array" ref="B32">SUMPRODUCT(ChuanHoa_DuLieu!B32:E32,TRANSPOSE(Criteria_Weights!$B$2:$B$5))</f>
        <v>0.64007756511695568</v>
      </c>
    </row>
    <row r="33" spans="1:2">
      <c r="A33" t="str">
        <f>ChuanHoa_DuLieu!A33</f>
        <v>NT032</v>
      </c>
      <c r="B33" cm="1">
        <f t="array" ref="B33">SUMPRODUCT(ChuanHoa_DuLieu!B33:E33,TRANSPOSE(Criteria_Weights!$B$2:$B$5))</f>
        <v>0.41823746544072149</v>
      </c>
    </row>
    <row r="34" spans="1:2">
      <c r="A34" t="str">
        <f>ChuanHoa_DuLieu!A34</f>
        <v>NT033</v>
      </c>
      <c r="B34" cm="1">
        <f t="array" ref="B34">SUMPRODUCT(ChuanHoa_DuLieu!B34:E34,TRANSPOSE(Criteria_Weights!$B$2:$B$5))</f>
        <v>0.73293988049765346</v>
      </c>
    </row>
    <row r="35" spans="1:2">
      <c r="A35" t="str">
        <f>ChuanHoa_DuLieu!A35</f>
        <v>NT034</v>
      </c>
      <c r="B35" cm="1">
        <f t="array" ref="B35">SUMPRODUCT(ChuanHoa_DuLieu!B35:E35,TRANSPOSE(Criteria_Weights!$B$2:$B$5))</f>
        <v>0.29511310205900509</v>
      </c>
    </row>
    <row r="36" spans="1:2">
      <c r="A36" t="str">
        <f>ChuanHoa_DuLieu!A36</f>
        <v>NT035</v>
      </c>
      <c r="B36" cm="1">
        <f t="array" ref="B36">SUMPRODUCT(ChuanHoa_DuLieu!B36:E36,TRANSPOSE(Criteria_Weights!$B$2:$B$5))</f>
        <v>0.40533645276292307</v>
      </c>
    </row>
    <row r="37" spans="1:2">
      <c r="A37" t="str">
        <f>ChuanHoa_DuLieu!A37</f>
        <v>NT036</v>
      </c>
      <c r="B37" cm="1">
        <f t="array" ref="B37">SUMPRODUCT(ChuanHoa_DuLieu!B37:E37,TRANSPOSE(Criteria_Weights!$B$2:$B$5))</f>
        <v>0.2744636490960019</v>
      </c>
    </row>
    <row r="38" spans="1:2">
      <c r="A38" t="str">
        <f>ChuanHoa_DuLieu!A38</f>
        <v>NT037</v>
      </c>
      <c r="B38" cm="1">
        <f t="array" ref="B38">SUMPRODUCT(ChuanHoa_DuLieu!B38:E38,TRANSPOSE(Criteria_Weights!$B$2:$B$5))</f>
        <v>0.71296967650696619</v>
      </c>
    </row>
    <row r="39" spans="1:2">
      <c r="A39" t="str">
        <f>ChuanHoa_DuLieu!A39</f>
        <v>NT038</v>
      </c>
      <c r="B39" cm="1">
        <f t="array" ref="B39">SUMPRODUCT(ChuanHoa_DuLieu!B39:E39,TRANSPOSE(Criteria_Weights!$B$2:$B$5))</f>
        <v>0.50104183718942108</v>
      </c>
    </row>
    <row r="40" spans="1:2">
      <c r="A40" t="str">
        <f>ChuanHoa_DuLieu!A40</f>
        <v>NT039</v>
      </c>
      <c r="B40" cm="1">
        <f t="array" ref="B40">SUMPRODUCT(ChuanHoa_DuLieu!B40:E40,TRANSPOSE(Criteria_Weights!$B$2:$B$5))</f>
        <v>0.22280559951253232</v>
      </c>
    </row>
    <row r="41" spans="1:2">
      <c r="A41" t="str">
        <f>ChuanHoa_DuLieu!A41</f>
        <v>NT040</v>
      </c>
      <c r="B41" cm="1">
        <f t="array" ref="B41">SUMPRODUCT(ChuanHoa_DuLieu!B41:E41,TRANSPOSE(Criteria_Weights!$B$2:$B$5))</f>
        <v>0.67776604960165854</v>
      </c>
    </row>
    <row r="42" spans="1:2">
      <c r="A42" t="str">
        <f>ChuanHoa_DuLieu!A42</f>
        <v>NT041</v>
      </c>
      <c r="B42" cm="1">
        <f t="array" ref="B42">SUMPRODUCT(ChuanHoa_DuLieu!B42:E42,TRANSPOSE(Criteria_Weights!$B$2:$B$5))</f>
        <v>0.51380250964021967</v>
      </c>
    </row>
    <row r="43" spans="1:2">
      <c r="A43" t="str">
        <f>ChuanHoa_DuLieu!A43</f>
        <v>NT042</v>
      </c>
      <c r="B43" cm="1">
        <f t="array" ref="B43">SUMPRODUCT(ChuanHoa_DuLieu!B43:E43,TRANSPOSE(Criteria_Weights!$B$2:$B$5))</f>
        <v>0.3269252587398595</v>
      </c>
    </row>
    <row r="44" spans="1:2">
      <c r="A44" t="str">
        <f>ChuanHoa_DuLieu!A44</f>
        <v>NT043</v>
      </c>
      <c r="B44" cm="1">
        <f t="array" ref="B44">SUMPRODUCT(ChuanHoa_DuLieu!B44:E44,TRANSPOSE(Criteria_Weights!$B$2:$B$5))</f>
        <v>0.48279391301975316</v>
      </c>
    </row>
    <row r="45" spans="1:2">
      <c r="A45" t="str">
        <f>ChuanHoa_DuLieu!A45</f>
        <v>NT044</v>
      </c>
      <c r="B45" cm="1">
        <f t="array" ref="B45">SUMPRODUCT(ChuanHoa_DuLieu!B45:E45,TRANSPOSE(Criteria_Weights!$B$2:$B$5))</f>
        <v>0.40346434028156686</v>
      </c>
    </row>
    <row r="46" spans="1:2">
      <c r="A46" t="str">
        <f>ChuanHoa_DuLieu!A46</f>
        <v>NT045</v>
      </c>
      <c r="B46" cm="1">
        <f t="array" ref="B46">SUMPRODUCT(ChuanHoa_DuLieu!B46:E46,TRANSPOSE(Criteria_Weights!$B$2:$B$5))</f>
        <v>0.35793385536032596</v>
      </c>
    </row>
    <row r="47" spans="1:2">
      <c r="A47" t="str">
        <f>ChuanHoa_DuLieu!A47</f>
        <v>NT046</v>
      </c>
      <c r="B47" cm="1">
        <f t="array" ref="B47">SUMPRODUCT(ChuanHoa_DuLieu!B47:E47,TRANSPOSE(Criteria_Weights!$B$2:$B$5))</f>
        <v>0.57912915166066425</v>
      </c>
    </row>
    <row r="48" spans="1:2">
      <c r="A48" t="str">
        <f>ChuanHoa_DuLieu!A48</f>
        <v>NT047</v>
      </c>
      <c r="B48" cm="1">
        <f t="array" ref="B48">SUMPRODUCT(ChuanHoa_DuLieu!B48:E48,TRANSPOSE(Criteria_Weights!$B$2:$B$5))</f>
        <v>0.47235354369020333</v>
      </c>
    </row>
    <row r="49" spans="1:2">
      <c r="A49" t="str">
        <f>ChuanHoa_DuLieu!A49</f>
        <v>NT048</v>
      </c>
      <c r="B49" cm="1">
        <f t="array" ref="B49">SUMPRODUCT(ChuanHoa_DuLieu!B49:E49,TRANSPOSE(Criteria_Weights!$B$2:$B$5))</f>
        <v>0.27630239595838324</v>
      </c>
    </row>
    <row r="50" spans="1:2">
      <c r="A50" t="str">
        <f>ChuanHoa_DuLieu!A50</f>
        <v>NT049</v>
      </c>
      <c r="B50" cm="1">
        <f t="array" ref="B50">SUMPRODUCT(ChuanHoa_DuLieu!B50:E50,TRANSPOSE(Criteria_Weights!$B$2:$B$5))</f>
        <v>0.37443375077303631</v>
      </c>
    </row>
    <row r="51" spans="1:2">
      <c r="A51" t="str">
        <f>ChuanHoa_DuLieu!A51</f>
        <v>NT050</v>
      </c>
      <c r="B51" cm="1">
        <f t="array" ref="B51">SUMPRODUCT(ChuanHoa_DuLieu!B51:E51,TRANSPOSE(Criteria_Weights!$B$2:$B$5))</f>
        <v>0.3378592914438503</v>
      </c>
    </row>
    <row r="52" spans="1:2">
      <c r="A52" t="str">
        <f>ChuanHoa_DuLieu!A52</f>
        <v>NT051</v>
      </c>
      <c r="B52" cm="1">
        <f t="array" ref="B52">SUMPRODUCT(ChuanHoa_DuLieu!B52:E52,TRANSPOSE(Criteria_Weights!$B$2:$B$5))</f>
        <v>0.49853441376550611</v>
      </c>
    </row>
    <row r="53" spans="1:2">
      <c r="A53" t="str">
        <f>ChuanHoa_DuLieu!A53</f>
        <v>NT052</v>
      </c>
      <c r="B53" cm="1">
        <f t="array" ref="B53">SUMPRODUCT(ChuanHoa_DuLieu!B53:E53,TRANSPOSE(Criteria_Weights!$B$2:$B$5))</f>
        <v>0.4452794754265339</v>
      </c>
    </row>
    <row r="54" spans="1:2">
      <c r="A54" t="str">
        <f>ChuanHoa_DuLieu!A54</f>
        <v>NT053</v>
      </c>
      <c r="B54" cm="1">
        <f t="array" ref="B54">SUMPRODUCT(ChuanHoa_DuLieu!B54:E54,TRANSPOSE(Criteria_Weights!$B$2:$B$5))</f>
        <v>0.39483981092436948</v>
      </c>
    </row>
    <row r="55" spans="1:2">
      <c r="A55" t="str">
        <f>ChuanHoa_DuLieu!A55</f>
        <v>NT054</v>
      </c>
      <c r="B55" cm="1">
        <f t="array" ref="B55">SUMPRODUCT(ChuanHoa_DuLieu!B55:E55,TRANSPOSE(Criteria_Weights!$B$2:$B$5))</f>
        <v>0.93392419467787069</v>
      </c>
    </row>
    <row r="56" spans="1:2">
      <c r="A56" t="str">
        <f>ChuanHoa_DuLieu!A56</f>
        <v>NT055</v>
      </c>
      <c r="B56" cm="1">
        <f t="array" ref="B56">SUMPRODUCT(ChuanHoa_DuLieu!B56:E56,TRANSPOSE(Criteria_Weights!$B$2:$B$5))</f>
        <v>0.30392082969551437</v>
      </c>
    </row>
    <row r="57" spans="1:2">
      <c r="A57" t="str">
        <f>ChuanHoa_DuLieu!A57</f>
        <v>NT056</v>
      </c>
      <c r="B57" cm="1">
        <f t="array" ref="B57">SUMPRODUCT(ChuanHoa_DuLieu!B57:E57,TRANSPOSE(Criteria_Weights!$B$2:$B$5))</f>
        <v>0.2389603568700206</v>
      </c>
    </row>
    <row r="58" spans="1:2">
      <c r="A58" t="str">
        <f>ChuanHoa_DuLieu!A58</f>
        <v>NT057</v>
      </c>
      <c r="B58" cm="1">
        <f t="array" ref="B58">SUMPRODUCT(ChuanHoa_DuLieu!B58:E58,TRANSPOSE(Criteria_Weights!$B$2:$B$5))</f>
        <v>0.30835663810978947</v>
      </c>
    </row>
    <row r="59" spans="1:2">
      <c r="A59" t="str">
        <f>ChuanHoa_DuLieu!A59</f>
        <v>NT058</v>
      </c>
      <c r="B59" cm="1">
        <f t="array" ref="B59">SUMPRODUCT(ChuanHoa_DuLieu!B59:E59,TRANSPOSE(Criteria_Weights!$B$2:$B$5))</f>
        <v>0.4534410923460292</v>
      </c>
    </row>
    <row r="60" spans="1:2">
      <c r="A60" t="str">
        <f>ChuanHoa_DuLieu!A60</f>
        <v>NT059</v>
      </c>
      <c r="B60" cm="1">
        <f t="array" ref="B60">SUMPRODUCT(ChuanHoa_DuLieu!B60:E60,TRANSPOSE(Criteria_Weights!$B$2:$B$5))</f>
        <v>0.20802167457892246</v>
      </c>
    </row>
    <row r="61" spans="1:2">
      <c r="A61" t="str">
        <f>ChuanHoa_DuLieu!A61</f>
        <v>NT060</v>
      </c>
      <c r="B61" cm="1">
        <f t="array" ref="B61">SUMPRODUCT(ChuanHoa_DuLieu!B61:E61,TRANSPOSE(Criteria_Weights!$B$2:$B$5))</f>
        <v>0.82375580914183832</v>
      </c>
    </row>
    <row r="62" spans="1:2">
      <c r="A62" t="str">
        <f>ChuanHoa_DuLieu!A62</f>
        <v>NT061</v>
      </c>
      <c r="B62" cm="1">
        <f t="array" ref="B62">SUMPRODUCT(ChuanHoa_DuLieu!B62:E62,TRANSPOSE(Criteria_Weights!$B$2:$B$5))</f>
        <v>0.34744932063734579</v>
      </c>
    </row>
    <row r="63" spans="1:2">
      <c r="A63" t="str">
        <f>ChuanHoa_DuLieu!A63</f>
        <v>NT062</v>
      </c>
      <c r="B63" cm="1">
        <f t="array" ref="B63">SUMPRODUCT(ChuanHoa_DuLieu!B63:E63,TRANSPOSE(Criteria_Weights!$B$2:$B$5))</f>
        <v>0.37244363654552692</v>
      </c>
    </row>
    <row r="64" spans="1:2">
      <c r="A64" t="str">
        <f>ChuanHoa_DuLieu!A64</f>
        <v>NT063</v>
      </c>
      <c r="B64" cm="1">
        <f t="array" ref="B64">SUMPRODUCT(ChuanHoa_DuLieu!B64:E64,TRANSPOSE(Criteria_Weights!$B$2:$B$5))</f>
        <v>0.54312196469496876</v>
      </c>
    </row>
    <row r="65" spans="1:2">
      <c r="A65" t="str">
        <f>ChuanHoa_DuLieu!A65</f>
        <v>NT064</v>
      </c>
      <c r="B65" cm="1">
        <f t="array" ref="B65">SUMPRODUCT(ChuanHoa_DuLieu!B65:E65,TRANSPOSE(Criteria_Weights!$B$2:$B$5))</f>
        <v>0.38502133808068684</v>
      </c>
    </row>
    <row r="66" spans="1:2">
      <c r="A66" t="str">
        <f>ChuanHoa_DuLieu!A66</f>
        <v>NT065</v>
      </c>
      <c r="B66" cm="1">
        <f t="array" ref="B66">SUMPRODUCT(ChuanHoa_DuLieu!B66:E66,TRANSPOSE(Criteria_Weights!$B$2:$B$5))</f>
        <v>0.69626367592491534</v>
      </c>
    </row>
    <row r="67" spans="1:2">
      <c r="A67" t="str">
        <f>ChuanHoa_DuLieu!A67</f>
        <v>NT066</v>
      </c>
      <c r="B67" cm="1">
        <f t="array" ref="B67">SUMPRODUCT(ChuanHoa_DuLieu!B67:E67,TRANSPOSE(Criteria_Weights!$B$2:$B$5))</f>
        <v>0.41297257539379373</v>
      </c>
    </row>
    <row r="68" spans="1:2">
      <c r="A68" t="str">
        <f>ChuanHoa_DuLieu!A68</f>
        <v>NT067</v>
      </c>
      <c r="B68" cm="1">
        <f t="array" ref="B68">SUMPRODUCT(ChuanHoa_DuLieu!B68:E68,TRANSPOSE(Criteria_Weights!$B$2:$B$5))</f>
        <v>0.32697203881552594</v>
      </c>
    </row>
    <row r="69" spans="1:2">
      <c r="A69" t="str">
        <f>ChuanHoa_DuLieu!A69</f>
        <v>NT068</v>
      </c>
      <c r="B69" cm="1">
        <f t="array" ref="B69">SUMPRODUCT(ChuanHoa_DuLieu!B69:E69,TRANSPOSE(Criteria_Weights!$B$2:$B$5))</f>
        <v>0.37408861271781424</v>
      </c>
    </row>
    <row r="70" spans="1:2">
      <c r="A70" t="str">
        <f>ChuanHoa_DuLieu!A70</f>
        <v>NT069</v>
      </c>
      <c r="B70" cm="1">
        <f t="array" ref="B70">SUMPRODUCT(ChuanHoa_DuLieu!B70:E70,TRANSPOSE(Criteria_Weights!$B$2:$B$5))</f>
        <v>0.67888007475717538</v>
      </c>
    </row>
    <row r="71" spans="1:2">
      <c r="A71" t="str">
        <f>ChuanHoa_DuLieu!A71</f>
        <v>NT070</v>
      </c>
      <c r="B71" cm="1">
        <f t="array" ref="B71">SUMPRODUCT(ChuanHoa_DuLieu!B71:E71,TRANSPOSE(Criteria_Weights!$B$2:$B$5))</f>
        <v>0.78617168458292386</v>
      </c>
    </row>
    <row r="72" spans="1:2">
      <c r="A72" t="str">
        <f>ChuanHoa_DuLieu!A72</f>
        <v>NT071</v>
      </c>
      <c r="B72" cm="1">
        <f t="array" ref="B72">SUMPRODUCT(ChuanHoa_DuLieu!B72:E72,TRANSPOSE(Criteria_Weights!$B$2:$B$5))</f>
        <v>0.51535500563861869</v>
      </c>
    </row>
    <row r="73" spans="1:2">
      <c r="A73" t="str">
        <f>ChuanHoa_DuLieu!A73</f>
        <v>NT072</v>
      </c>
      <c r="B73" cm="1">
        <f t="array" ref="B73">SUMPRODUCT(ChuanHoa_DuLieu!B73:E73,TRANSPOSE(Criteria_Weights!$B$2:$B$5))</f>
        <v>0.61460038560878871</v>
      </c>
    </row>
    <row r="74" spans="1:2">
      <c r="A74" t="str">
        <f>ChuanHoa_DuLieu!A74</f>
        <v>NT073</v>
      </c>
      <c r="B74" cm="1">
        <f t="array" ref="B74">SUMPRODUCT(ChuanHoa_DuLieu!B74:E74,TRANSPOSE(Criteria_Weights!$B$2:$B$5))</f>
        <v>0.62561302930262985</v>
      </c>
    </row>
    <row r="75" spans="1:2">
      <c r="A75" t="str">
        <f>ChuanHoa_DuLieu!A75</f>
        <v>NT074</v>
      </c>
      <c r="B75" cm="1">
        <f t="array" ref="B75">SUMPRODUCT(ChuanHoa_DuLieu!B75:E75,TRANSPOSE(Criteria_Weights!$B$2:$B$5))</f>
        <v>0.53450823511222667</v>
      </c>
    </row>
    <row r="76" spans="1:2">
      <c r="A76" t="str">
        <f>ChuanHoa_DuLieu!A76</f>
        <v>NT075</v>
      </c>
      <c r="B76" cm="1">
        <f t="array" ref="B76">SUMPRODUCT(ChuanHoa_DuLieu!B76:E76,TRANSPOSE(Criteria_Weights!$B$2:$B$5))</f>
        <v>0.67140685819782431</v>
      </c>
    </row>
    <row r="77" spans="1:2">
      <c r="A77" t="str">
        <f>ChuanHoa_DuLieu!A77</f>
        <v>NT076</v>
      </c>
      <c r="B77" cm="1">
        <f t="array" ref="B77">SUMPRODUCT(ChuanHoa_DuLieu!B77:E77,TRANSPOSE(Criteria_Weights!$B$2:$B$5))</f>
        <v>0.90042181645385388</v>
      </c>
    </row>
    <row r="78" spans="1:2">
      <c r="A78" t="str">
        <f>ChuanHoa_DuLieu!A78</f>
        <v>NT077</v>
      </c>
      <c r="B78" cm="1">
        <f t="array" ref="B78">SUMPRODUCT(ChuanHoa_DuLieu!B78:E78,TRANSPOSE(Criteria_Weights!$B$2:$B$5))</f>
        <v>0.35396726872567197</v>
      </c>
    </row>
    <row r="79" spans="1:2">
      <c r="A79" t="str">
        <f>ChuanHoa_DuLieu!A79</f>
        <v>NT078</v>
      </c>
      <c r="B79" cm="1">
        <f t="array" ref="B79">SUMPRODUCT(ChuanHoa_DuLieu!B79:E79,TRANSPOSE(Criteria_Weights!$B$2:$B$5))</f>
        <v>0.20526136591000033</v>
      </c>
    </row>
    <row r="80" spans="1:2">
      <c r="A80" t="str">
        <f>ChuanHoa_DuLieu!A80</f>
        <v>NT079</v>
      </c>
      <c r="B80" cm="1">
        <f t="array" ref="B80">SUMPRODUCT(ChuanHoa_DuLieu!B80:E80,TRANSPOSE(Criteria_Weights!$B$2:$B$5))</f>
        <v>0.72300602059005403</v>
      </c>
    </row>
    <row r="81" spans="1:2">
      <c r="A81" t="str">
        <f>ChuanHoa_DuLieu!A81</f>
        <v>NT080</v>
      </c>
      <c r="B81" cm="1">
        <f t="array" ref="B81">SUMPRODUCT(ChuanHoa_DuLieu!B81:E81,TRANSPOSE(Criteria_Weights!$B$2:$B$5))</f>
        <v>0.48977346620466333</v>
      </c>
    </row>
    <row r="82" spans="1:2">
      <c r="A82" t="str">
        <f>ChuanHoa_DuLieu!A82</f>
        <v>NT081</v>
      </c>
      <c r="B82" cm="1">
        <f t="array" ref="B82">SUMPRODUCT(ChuanHoa_DuLieu!B82:E82,TRANSPOSE(Criteria_Weights!$B$2:$B$5))</f>
        <v>0.29459579286259951</v>
      </c>
    </row>
    <row r="83" spans="1:2">
      <c r="A83" t="str">
        <f>ChuanHoa_DuLieu!A83</f>
        <v>NT082</v>
      </c>
      <c r="B83" cm="1">
        <f t="array" ref="B83">SUMPRODUCT(ChuanHoa_DuLieu!B83:E83,TRANSPOSE(Criteria_Weights!$B$2:$B$5))</f>
        <v>0.19734052711993871</v>
      </c>
    </row>
    <row r="84" spans="1:2">
      <c r="A84" t="str">
        <f>ChuanHoa_DuLieu!A84</f>
        <v>NT083</v>
      </c>
      <c r="B84" cm="1">
        <f t="array" ref="B84">SUMPRODUCT(ChuanHoa_DuLieu!B84:E84,TRANSPOSE(Criteria_Weights!$B$2:$B$5))</f>
        <v>0.30986388873731313</v>
      </c>
    </row>
    <row r="85" spans="1:2">
      <c r="A85" t="str">
        <f>ChuanHoa_DuLieu!A85</f>
        <v>NT084</v>
      </c>
      <c r="B85" cm="1">
        <f t="array" ref="B85">SUMPRODUCT(ChuanHoa_DuLieu!B85:E85,TRANSPOSE(Criteria_Weights!$B$2:$B$5))</f>
        <v>0.27156561488231629</v>
      </c>
    </row>
    <row r="86" spans="1:2">
      <c r="A86" t="str">
        <f>ChuanHoa_DuLieu!A86</f>
        <v>NT085</v>
      </c>
      <c r="B86" cm="1">
        <f t="array" ref="B86">SUMPRODUCT(ChuanHoa_DuLieu!B86:E86,TRANSPOSE(Criteria_Weights!$B$2:$B$5))</f>
        <v>0.54620166248317492</v>
      </c>
    </row>
    <row r="87" spans="1:2">
      <c r="A87" t="str">
        <f>ChuanHoa_DuLieu!A87</f>
        <v>NT086</v>
      </c>
      <c r="B87" cm="1">
        <f t="array" ref="B87">SUMPRODUCT(ChuanHoa_DuLieu!B87:E87,TRANSPOSE(Criteria_Weights!$B$2:$B$5))</f>
        <v>0.22532513005202059</v>
      </c>
    </row>
    <row r="88" spans="1:2">
      <c r="A88" t="str">
        <f>ChuanHoa_DuLieu!A88</f>
        <v>NT087</v>
      </c>
      <c r="B88" cm="1">
        <f t="array" ref="B88">SUMPRODUCT(ChuanHoa_DuLieu!B88:E88,TRANSPOSE(Criteria_Weights!$B$2:$B$5))</f>
        <v>0.44159913965586201</v>
      </c>
    </row>
    <row r="89" spans="1:2">
      <c r="A89" t="str">
        <f>ChuanHoa_DuLieu!A89</f>
        <v>NT088</v>
      </c>
      <c r="B89" cm="1">
        <f t="array" ref="B89">SUMPRODUCT(ChuanHoa_DuLieu!B89:E89,TRANSPOSE(Criteria_Weights!$B$2:$B$5))</f>
        <v>0.47361870884717511</v>
      </c>
    </row>
    <row r="90" spans="1:2">
      <c r="A90" t="str">
        <f>ChuanHoa_DuLieu!A90</f>
        <v>NT089</v>
      </c>
      <c r="B90" cm="1">
        <f t="array" ref="B90">SUMPRODUCT(ChuanHoa_DuLieu!B90:E90,TRANSPOSE(Criteria_Weights!$B$2:$B$5))</f>
        <v>0.62644233829895579</v>
      </c>
    </row>
    <row r="91" spans="1:2">
      <c r="A91" t="str">
        <f>ChuanHoa_DuLieu!A91</f>
        <v>NT090</v>
      </c>
      <c r="B91" cm="1">
        <f t="array" ref="B91">SUMPRODUCT(ChuanHoa_DuLieu!B91:E91,TRANSPOSE(Criteria_Weights!$B$2:$B$5))</f>
        <v>0.29057162637782358</v>
      </c>
    </row>
    <row r="92" spans="1:2">
      <c r="A92" t="str">
        <f>ChuanHoa_DuLieu!A92</f>
        <v>NT091</v>
      </c>
      <c r="B92" cm="1">
        <f t="array" ref="B92">SUMPRODUCT(ChuanHoa_DuLieu!B92:E92,TRANSPOSE(Criteria_Weights!$B$2:$B$5))</f>
        <v>0.84882265406162416</v>
      </c>
    </row>
    <row r="93" spans="1:2">
      <c r="A93" t="str">
        <f>ChuanHoa_DuLieu!A93</f>
        <v>NT092</v>
      </c>
      <c r="B93" cm="1">
        <f t="array" ref="B93">SUMPRODUCT(ChuanHoa_DuLieu!B93:E93,TRANSPOSE(Criteria_Weights!$B$2:$B$5))</f>
        <v>0.49088749136018028</v>
      </c>
    </row>
    <row r="94" spans="1:2">
      <c r="A94" t="str">
        <f>ChuanHoa_DuLieu!A94</f>
        <v>NT093</v>
      </c>
      <c r="B94" cm="1">
        <f t="array" ref="B94">SUMPRODUCT(ChuanHoa_DuLieu!B94:E94,TRANSPOSE(Criteria_Weights!$B$2:$B$5))</f>
        <v>0.2766020612790569</v>
      </c>
    </row>
    <row r="95" spans="1:2">
      <c r="A95" t="str">
        <f>ChuanHoa_DuLieu!A95</f>
        <v>NT094</v>
      </c>
      <c r="B95" cm="1">
        <f t="array" ref="B95">SUMPRODUCT(ChuanHoa_DuLieu!B95:E95,TRANSPOSE(Criteria_Weights!$B$2:$B$5))</f>
        <v>0.378398802702899</v>
      </c>
    </row>
    <row r="96" spans="1:2">
      <c r="A96" t="str">
        <f>ChuanHoa_DuLieu!A96</f>
        <v>NT095</v>
      </c>
      <c r="B96" cm="1">
        <f t="array" ref="B96">SUMPRODUCT(ChuanHoa_DuLieu!B96:E96,TRANSPOSE(Criteria_Weights!$B$2:$B$5))</f>
        <v>0.716338239841391</v>
      </c>
    </row>
    <row r="97" spans="1:2">
      <c r="A97" t="str">
        <f>ChuanHoa_DuLieu!A97</f>
        <v>NT096</v>
      </c>
      <c r="B97" cm="1">
        <f t="array" ref="B97">SUMPRODUCT(ChuanHoa_DuLieu!B97:E97,TRANSPOSE(Criteria_Weights!$B$2:$B$5))</f>
        <v>0.20999945432718525</v>
      </c>
    </row>
    <row r="98" spans="1:2">
      <c r="A98" t="str">
        <f>ChuanHoa_DuLieu!A98</f>
        <v>NT097</v>
      </c>
      <c r="B98" cm="1">
        <f t="array" ref="B98">SUMPRODUCT(ChuanHoa_DuLieu!B98:E98,TRANSPOSE(Criteria_Weights!$B$2:$B$5))</f>
        <v>0.70439192722543553</v>
      </c>
    </row>
    <row r="99" spans="1:2">
      <c r="A99" t="str">
        <f>ChuanHoa_DuLieu!A99</f>
        <v>NT098</v>
      </c>
      <c r="B99" cm="1">
        <f t="array" ref="B99">SUMPRODUCT(ChuanHoa_DuLieu!B99:E99,TRANSPOSE(Criteria_Weights!$B$2:$B$5))</f>
        <v>0.81264011286332682</v>
      </c>
    </row>
    <row r="100" spans="1:2">
      <c r="A100" t="str">
        <f>ChuanHoa_DuLieu!A100</f>
        <v>NT099</v>
      </c>
      <c r="B100" cm="1">
        <f t="array" ref="B100">SUMPRODUCT(ChuanHoa_DuLieu!B100:E100,TRANSPOSE(Criteria_Weights!$B$2:$B$5))</f>
        <v>0.80315444359561983</v>
      </c>
    </row>
    <row r="101" spans="1:2">
      <c r="A101" t="str">
        <f>ChuanHoa_DuLieu!A101</f>
        <v>NT100</v>
      </c>
      <c r="B101" cm="1">
        <f t="array" ref="B101">SUMPRODUCT(ChuanHoa_DuLieu!B101:E101,TRANSPOSE(Criteria_Weights!$B$2:$B$5))</f>
        <v>0.57692270089854092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HuongDan</vt:lpstr>
      <vt:lpstr>Criteria_Pairwise</vt:lpstr>
      <vt:lpstr>Normalization_AHP</vt:lpstr>
      <vt:lpstr>Criteria_Weights</vt:lpstr>
      <vt:lpstr>DuLieu_ThucTe_TPHCM</vt:lpstr>
      <vt:lpstr>ChuanHoa_DuLieu</vt:lpstr>
      <vt:lpstr>TinhDiem_PhuongAn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Trần Phạm Thành</cp:lastModifiedBy>
  <dcterms:created xsi:type="dcterms:W3CDTF">2026-02-06T07:57:00Z</dcterms:created>
  <dcterms:modified xsi:type="dcterms:W3CDTF">2026-03-19T18:17:41Z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2227A9CE0CFE4C64A8DDEFC5AAF4316F_13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